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shuo_ding_ufl_edu/Documents/Documents/Alaska/Spurr/Spurr_plot/"/>
    </mc:Choice>
  </mc:AlternateContent>
  <xr:revisionPtr revIDLastSave="10" documentId="13_ncr:1_{6EAA8B49-AE43-4381-8864-577B26761D8D}" xr6:coauthVersionLast="47" xr6:coauthVersionMax="47" xr10:uidLastSave="{851D60DF-78E7-43F2-ACCE-2EB25E12AD16}"/>
  <bookViews>
    <workbookView xWindow="-38520" yWindow="-2160" windowWidth="38640" windowHeight="21120" xr2:uid="{361B41AA-2097-443E-B306-F0CF42F059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" l="1"/>
  <c r="AF4" i="1"/>
  <c r="AF5" i="1"/>
  <c r="AF6" i="1"/>
  <c r="AF7" i="1"/>
  <c r="AF8" i="1"/>
  <c r="AF9" i="1"/>
  <c r="AF10" i="1"/>
  <c r="AF11" i="1"/>
  <c r="AF12" i="1"/>
  <c r="AF13" i="1"/>
  <c r="AF14" i="1"/>
  <c r="AF2" i="1"/>
  <c r="AD3" i="1"/>
  <c r="AD4" i="1"/>
  <c r="AD5" i="1"/>
  <c r="AD6" i="1"/>
  <c r="AD7" i="1"/>
  <c r="AD8" i="1"/>
  <c r="AD9" i="1"/>
  <c r="AD10" i="1"/>
  <c r="AD11" i="1"/>
  <c r="AD12" i="1"/>
  <c r="AD13" i="1"/>
  <c r="AD14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2" i="1"/>
  <c r="AE7" i="1"/>
  <c r="AE8" i="1"/>
  <c r="AE2" i="1"/>
  <c r="AD34" i="1"/>
  <c r="AD35" i="1"/>
  <c r="AD36" i="1"/>
  <c r="AD37" i="1"/>
  <c r="AD38" i="1"/>
  <c r="AD39" i="1"/>
  <c r="AD40" i="1"/>
  <c r="AD41" i="1"/>
  <c r="AD42" i="1"/>
  <c r="AB15" i="1"/>
  <c r="AB16" i="1"/>
  <c r="AB27" i="1"/>
  <c r="AB28" i="1"/>
  <c r="AA16" i="1"/>
  <c r="AA17" i="1"/>
  <c r="AA18" i="1"/>
  <c r="AA28" i="1"/>
  <c r="AA29" i="1"/>
  <c r="AA30" i="1"/>
  <c r="Z16" i="1"/>
  <c r="Z17" i="1"/>
  <c r="Z18" i="1"/>
  <c r="Z19" i="1"/>
  <c r="Z20" i="1"/>
  <c r="Z27" i="1"/>
  <c r="Z28" i="1"/>
  <c r="Z29" i="1"/>
  <c r="Z30" i="1"/>
  <c r="Y16" i="1"/>
  <c r="Y27" i="1"/>
  <c r="Y28" i="1"/>
  <c r="X16" i="1"/>
  <c r="X17" i="1"/>
  <c r="X18" i="1"/>
  <c r="X19" i="1"/>
  <c r="X28" i="1"/>
  <c r="X29" i="1"/>
  <c r="X30" i="1"/>
  <c r="W15" i="1"/>
  <c r="W16" i="1"/>
  <c r="W27" i="1"/>
  <c r="W28" i="1"/>
  <c r="W29" i="1"/>
  <c r="W30" i="1"/>
  <c r="W31" i="1"/>
  <c r="V31" i="1"/>
  <c r="V32" i="1"/>
  <c r="V33" i="1"/>
  <c r="U15" i="1"/>
  <c r="U16" i="1"/>
  <c r="U17" i="1"/>
  <c r="U18" i="1"/>
  <c r="U19" i="1"/>
  <c r="U20" i="1"/>
  <c r="U21" i="1"/>
  <c r="U27" i="1"/>
  <c r="U28" i="1"/>
  <c r="T15" i="1"/>
  <c r="T16" i="1"/>
  <c r="T17" i="1"/>
  <c r="T27" i="1"/>
  <c r="T28" i="1"/>
  <c r="T29" i="1"/>
  <c r="AJ42" i="1"/>
  <c r="AJ41" i="1"/>
  <c r="AJ40" i="1"/>
  <c r="AJ39" i="1"/>
  <c r="AJ38" i="1"/>
  <c r="AJ37" i="1"/>
  <c r="AJ36" i="1"/>
  <c r="AJ35" i="1"/>
  <c r="AJ34" i="1"/>
  <c r="G34" i="1"/>
  <c r="V34" i="1" s="1"/>
  <c r="G42" i="1"/>
  <c r="G41" i="1"/>
  <c r="G40" i="1"/>
  <c r="G39" i="1"/>
  <c r="G38" i="1"/>
  <c r="G37" i="1"/>
  <c r="R37" i="1" s="1"/>
  <c r="S37" i="1" s="1"/>
  <c r="R39" i="1"/>
  <c r="AB39" i="1" s="1"/>
  <c r="G36" i="1"/>
  <c r="R36" i="1" s="1"/>
  <c r="G35" i="1"/>
  <c r="R35" i="1" s="1"/>
  <c r="Z35" i="1" s="1"/>
  <c r="R15" i="1"/>
  <c r="V15" i="1" s="1"/>
  <c r="R16" i="1"/>
  <c r="V16" i="1" s="1"/>
  <c r="R17" i="1"/>
  <c r="AB17" i="1" s="1"/>
  <c r="R18" i="1"/>
  <c r="T18" i="1" s="1"/>
  <c r="R19" i="1"/>
  <c r="R20" i="1"/>
  <c r="X20" i="1" s="1"/>
  <c r="R21" i="1"/>
  <c r="X21" i="1" s="1"/>
  <c r="R22" i="1"/>
  <c r="X22" i="1" s="1"/>
  <c r="R23" i="1"/>
  <c r="AB23" i="1" s="1"/>
  <c r="R24" i="1"/>
  <c r="R25" i="1"/>
  <c r="AB25" i="1" s="1"/>
  <c r="R26" i="1"/>
  <c r="V26" i="1" s="1"/>
  <c r="R27" i="1"/>
  <c r="V27" i="1" s="1"/>
  <c r="R28" i="1"/>
  <c r="V28" i="1" s="1"/>
  <c r="R29" i="1"/>
  <c r="AB29" i="1" s="1"/>
  <c r="R30" i="1"/>
  <c r="T30" i="1" s="1"/>
  <c r="R31" i="1"/>
  <c r="U31" i="1" s="1"/>
  <c r="R32" i="1"/>
  <c r="R33" i="1"/>
  <c r="R34" i="1"/>
  <c r="R38" i="1"/>
  <c r="R41" i="1"/>
  <c r="R42" i="1"/>
  <c r="Z42" i="1" s="1"/>
  <c r="U14" i="1"/>
  <c r="Y14" i="1"/>
  <c r="Z14" i="1"/>
  <c r="AA14" i="1"/>
  <c r="AB14" i="1"/>
  <c r="T13" i="1"/>
  <c r="U13" i="1"/>
  <c r="V13" i="1"/>
  <c r="AB13" i="1"/>
  <c r="V11" i="1"/>
  <c r="V9" i="1"/>
  <c r="AB9" i="1"/>
  <c r="T8" i="1"/>
  <c r="Y6" i="1"/>
  <c r="Z6" i="1"/>
  <c r="AA6" i="1"/>
  <c r="AB6" i="1"/>
  <c r="T5" i="1"/>
  <c r="U5" i="1"/>
  <c r="T4" i="1"/>
  <c r="U4" i="1"/>
  <c r="V4" i="1"/>
  <c r="W4" i="1"/>
  <c r="X4" i="1"/>
  <c r="Y4" i="1"/>
  <c r="Z4" i="1"/>
  <c r="AA4" i="1"/>
  <c r="X3" i="1"/>
  <c r="Y3" i="1"/>
  <c r="Z3" i="1"/>
  <c r="AA3" i="1"/>
  <c r="AB3" i="1"/>
  <c r="S4" i="1"/>
  <c r="S9" i="1"/>
  <c r="S10" i="1"/>
  <c r="S11" i="1"/>
  <c r="S14" i="1"/>
  <c r="U2" i="1"/>
  <c r="V2" i="1"/>
  <c r="W2" i="1"/>
  <c r="X2" i="1"/>
  <c r="Y2" i="1"/>
  <c r="Z2" i="1"/>
  <c r="R3" i="1"/>
  <c r="S3" i="1" s="1"/>
  <c r="R4" i="1"/>
  <c r="AB4" i="1" s="1"/>
  <c r="R5" i="1"/>
  <c r="W5" i="1" s="1"/>
  <c r="R6" i="1"/>
  <c r="T6" i="1" s="1"/>
  <c r="R7" i="1"/>
  <c r="R8" i="1"/>
  <c r="X8" i="1" s="1"/>
  <c r="R9" i="1"/>
  <c r="T9" i="1" s="1"/>
  <c r="R10" i="1"/>
  <c r="AB10" i="1" s="1"/>
  <c r="R11" i="1"/>
  <c r="W11" i="1" s="1"/>
  <c r="R12" i="1"/>
  <c r="S12" i="1" s="1"/>
  <c r="R13" i="1"/>
  <c r="S13" i="1" s="1"/>
  <c r="R14" i="1"/>
  <c r="T14" i="1" s="1"/>
  <c r="R2" i="1"/>
  <c r="S2" i="1" s="1"/>
  <c r="Y12" i="1" l="1"/>
  <c r="U26" i="1"/>
  <c r="T26" i="1"/>
  <c r="V25" i="1"/>
  <c r="T25" i="1"/>
  <c r="Y35" i="1"/>
  <c r="AA10" i="1"/>
  <c r="AA11" i="1"/>
  <c r="S35" i="1"/>
  <c r="X26" i="1"/>
  <c r="AB35" i="1"/>
  <c r="AB5" i="1"/>
  <c r="Z11" i="1"/>
  <c r="S31" i="1"/>
  <c r="X23" i="1"/>
  <c r="W3" i="1"/>
  <c r="Y8" i="1"/>
  <c r="S25" i="1"/>
  <c r="AB2" i="1"/>
  <c r="V3" i="1"/>
  <c r="X5" i="1"/>
  <c r="V8" i="1"/>
  <c r="X11" i="1"/>
  <c r="X14" i="1"/>
  <c r="T37" i="1"/>
  <c r="U30" i="1"/>
  <c r="V35" i="1"/>
  <c r="W18" i="1"/>
  <c r="Y15" i="1"/>
  <c r="Z15" i="1"/>
  <c r="AB26" i="1"/>
  <c r="X42" i="1"/>
  <c r="U9" i="1"/>
  <c r="X35" i="1"/>
  <c r="Z26" i="1"/>
  <c r="X6" i="1"/>
  <c r="W6" i="1"/>
  <c r="Y26" i="1"/>
  <c r="V6" i="1"/>
  <c r="U42" i="1"/>
  <c r="Y25" i="1"/>
  <c r="AA5" i="1"/>
  <c r="Y11" i="1"/>
  <c r="U35" i="1"/>
  <c r="W26" i="1"/>
  <c r="AA2" i="1"/>
  <c r="U3" i="1"/>
  <c r="V5" i="1"/>
  <c r="U8" i="1"/>
  <c r="W14" i="1"/>
  <c r="T35" i="1"/>
  <c r="U29" i="1"/>
  <c r="W17" i="1"/>
  <c r="AA35" i="1"/>
  <c r="AA36" i="1"/>
  <c r="U36" i="1"/>
  <c r="Z36" i="1"/>
  <c r="Y36" i="1"/>
  <c r="S36" i="1"/>
  <c r="AB36" i="1"/>
  <c r="X36" i="1"/>
  <c r="T36" i="1"/>
  <c r="T7" i="1"/>
  <c r="U7" i="1"/>
  <c r="X7" i="1"/>
  <c r="V7" i="1"/>
  <c r="W7" i="1"/>
  <c r="S7" i="1"/>
  <c r="Z7" i="1"/>
  <c r="AB41" i="1"/>
  <c r="Y41" i="1"/>
  <c r="S41" i="1"/>
  <c r="X41" i="1"/>
  <c r="AA24" i="1"/>
  <c r="U24" i="1"/>
  <c r="Z24" i="1"/>
  <c r="W24" i="1"/>
  <c r="S38" i="1"/>
  <c r="X38" i="1"/>
  <c r="AA38" i="1"/>
  <c r="U38" i="1"/>
  <c r="S39" i="1"/>
  <c r="X39" i="1"/>
  <c r="AA39" i="1"/>
  <c r="AB38" i="1"/>
  <c r="U34" i="1"/>
  <c r="Z34" i="1"/>
  <c r="T34" i="1"/>
  <c r="AB34" i="1"/>
  <c r="U22" i="1"/>
  <c r="Z22" i="1"/>
  <c r="W22" i="1"/>
  <c r="T22" i="1"/>
  <c r="Y34" i="1"/>
  <c r="AB37" i="1"/>
  <c r="Z33" i="1"/>
  <c r="W33" i="1"/>
  <c r="Y33" i="1"/>
  <c r="T33" i="1"/>
  <c r="AB33" i="1"/>
  <c r="Z21" i="1"/>
  <c r="W21" i="1"/>
  <c r="T21" i="1"/>
  <c r="AB21" i="1"/>
  <c r="Y21" i="1"/>
  <c r="S23" i="1"/>
  <c r="X34" i="1"/>
  <c r="Z39" i="1"/>
  <c r="T32" i="1"/>
  <c r="AB32" i="1"/>
  <c r="Y32" i="1"/>
  <c r="T20" i="1"/>
  <c r="AB20" i="1"/>
  <c r="Y20" i="1"/>
  <c r="V39" i="1"/>
  <c r="S22" i="1"/>
  <c r="U39" i="1"/>
  <c r="X33" i="1"/>
  <c r="Z38" i="1"/>
  <c r="AA22" i="1"/>
  <c r="T19" i="1"/>
  <c r="AB19" i="1"/>
  <c r="Y19" i="1"/>
  <c r="R40" i="1"/>
  <c r="V40" i="1"/>
  <c r="S21" i="1"/>
  <c r="X32" i="1"/>
  <c r="Z32" i="1"/>
  <c r="AA21" i="1"/>
  <c r="V41" i="1"/>
  <c r="U33" i="1"/>
  <c r="V23" i="1"/>
  <c r="X31" i="1"/>
  <c r="AA41" i="1"/>
  <c r="Z12" i="1"/>
  <c r="AA12" i="1"/>
  <c r="AB12" i="1"/>
  <c r="X12" i="1"/>
  <c r="S19" i="1"/>
  <c r="U32" i="1"/>
  <c r="V22" i="1"/>
  <c r="Y24" i="1"/>
  <c r="AA19" i="1"/>
  <c r="U11" i="1"/>
  <c r="T11" i="1"/>
  <c r="W12" i="1"/>
  <c r="T41" i="1"/>
  <c r="V21" i="1"/>
  <c r="AA34" i="1"/>
  <c r="T10" i="1"/>
  <c r="U10" i="1"/>
  <c r="V10" i="1"/>
  <c r="W10" i="1"/>
  <c r="X10" i="1"/>
  <c r="V12" i="1"/>
  <c r="S34" i="1"/>
  <c r="T23" i="1"/>
  <c r="V37" i="1"/>
  <c r="V20" i="1"/>
  <c r="Y39" i="1"/>
  <c r="Y22" i="1"/>
  <c r="AA33" i="1"/>
  <c r="AB24" i="1"/>
  <c r="W9" i="1"/>
  <c r="X9" i="1"/>
  <c r="AA9" i="1"/>
  <c r="Y9" i="1"/>
  <c r="Z9" i="1"/>
  <c r="S8" i="1"/>
  <c r="AB7" i="1"/>
  <c r="Y10" i="1"/>
  <c r="U12" i="1"/>
  <c r="S33" i="1"/>
  <c r="T39" i="1"/>
  <c r="V36" i="1"/>
  <c r="V19" i="1"/>
  <c r="Y38" i="1"/>
  <c r="AA32" i="1"/>
  <c r="Y7" i="1"/>
  <c r="U23" i="1"/>
  <c r="Z23" i="1"/>
  <c r="W23" i="1"/>
  <c r="Z41" i="1"/>
  <c r="X37" i="1"/>
  <c r="AA37" i="1"/>
  <c r="U37" i="1"/>
  <c r="Z37" i="1"/>
  <c r="S24" i="1"/>
  <c r="U41" i="1"/>
  <c r="V38" i="1"/>
  <c r="AA23" i="1"/>
  <c r="T31" i="1"/>
  <c r="AB31" i="1"/>
  <c r="Y31" i="1"/>
  <c r="V24" i="1"/>
  <c r="W13" i="1"/>
  <c r="X13" i="1"/>
  <c r="Y13" i="1"/>
  <c r="Z13" i="1"/>
  <c r="AA13" i="1"/>
  <c r="S20" i="1"/>
  <c r="W20" i="1"/>
  <c r="Z31" i="1"/>
  <c r="AA20" i="1"/>
  <c r="W19" i="1"/>
  <c r="T24" i="1"/>
  <c r="Y23" i="1"/>
  <c r="Z10" i="1"/>
  <c r="Z8" i="1"/>
  <c r="AA8" i="1"/>
  <c r="AB8" i="1"/>
  <c r="AA7" i="1"/>
  <c r="W8" i="1"/>
  <c r="AB11" i="1"/>
  <c r="T12" i="1"/>
  <c r="T42" i="1"/>
  <c r="AB42" i="1"/>
  <c r="Y42" i="1"/>
  <c r="AA42" i="1"/>
  <c r="V42" i="1"/>
  <c r="S42" i="1"/>
  <c r="X25" i="1"/>
  <c r="AA25" i="1"/>
  <c r="U25" i="1"/>
  <c r="Z25" i="1"/>
  <c r="W25" i="1"/>
  <c r="S32" i="1"/>
  <c r="T38" i="1"/>
  <c r="W32" i="1"/>
  <c r="X24" i="1"/>
  <c r="Y37" i="1"/>
  <c r="AA31" i="1"/>
  <c r="AB22" i="1"/>
  <c r="U6" i="1"/>
  <c r="S30" i="1"/>
  <c r="V30" i="1"/>
  <c r="V18" i="1"/>
  <c r="T2" i="1"/>
  <c r="S6" i="1"/>
  <c r="T3" i="1"/>
  <c r="Z5" i="1"/>
  <c r="S29" i="1"/>
  <c r="S17" i="1"/>
  <c r="V29" i="1"/>
  <c r="V17" i="1"/>
  <c r="AA27" i="1"/>
  <c r="AA15" i="1"/>
  <c r="S5" i="1"/>
  <c r="Y5" i="1"/>
  <c r="V14" i="1"/>
  <c r="S28" i="1"/>
  <c r="S16" i="1"/>
  <c r="X27" i="1"/>
  <c r="X15" i="1"/>
  <c r="AA26" i="1"/>
  <c r="AB18" i="1"/>
  <c r="S18" i="1"/>
  <c r="S27" i="1"/>
  <c r="S15" i="1"/>
  <c r="Y30" i="1"/>
  <c r="Y18" i="1"/>
  <c r="AB30" i="1"/>
  <c r="S26" i="1"/>
  <c r="Y29" i="1"/>
  <c r="Y17" i="1"/>
  <c r="S40" i="1" l="1"/>
  <c r="X40" i="1"/>
  <c r="AA40" i="1"/>
  <c r="AB40" i="1"/>
  <c r="Z40" i="1"/>
  <c r="T40" i="1"/>
  <c r="Y40" i="1"/>
  <c r="U40" i="1"/>
</calcChain>
</file>

<file path=xl/sharedStrings.xml><?xml version="1.0" encoding="utf-8"?>
<sst xmlns="http://schemas.openxmlformats.org/spreadsheetml/2006/main" count="167" uniqueCount="91">
  <si>
    <t>Sample</t>
  </si>
  <si>
    <t>Event</t>
  </si>
  <si>
    <t>Phase</t>
  </si>
  <si>
    <t>SiO2</t>
  </si>
  <si>
    <t>TiO2</t>
  </si>
  <si>
    <t>Al2O3</t>
  </si>
  <si>
    <t>FeO</t>
  </si>
  <si>
    <t>MnO</t>
  </si>
  <si>
    <t>MgO</t>
  </si>
  <si>
    <t>CaO</t>
  </si>
  <si>
    <t>Na2O</t>
  </si>
  <si>
    <t>K2O</t>
  </si>
  <si>
    <t>P2O5</t>
  </si>
  <si>
    <t>S WT%</t>
  </si>
  <si>
    <t>Cl</t>
  </si>
  <si>
    <t>F</t>
  </si>
  <si>
    <t>Vol-free total</t>
  </si>
  <si>
    <t>Event 1</t>
  </si>
  <si>
    <t>MI</t>
  </si>
  <si>
    <t>Event 2</t>
  </si>
  <si>
    <t>Event 3</t>
  </si>
  <si>
    <t>WR</t>
  </si>
  <si>
    <t>92JBS01</t>
  </si>
  <si>
    <t>92JBS02</t>
  </si>
  <si>
    <t>92JBS03</t>
  </si>
  <si>
    <t>92amm100</t>
  </si>
  <si>
    <t>92amm101</t>
  </si>
  <si>
    <t>92amm111B</t>
  </si>
  <si>
    <t>92JES03</t>
  </si>
  <si>
    <t>92JES06</t>
  </si>
  <si>
    <t>92JES07</t>
  </si>
  <si>
    <t>92JES08</t>
  </si>
  <si>
    <t>NS(2)92-18</t>
  </si>
  <si>
    <t>920924-1</t>
  </si>
  <si>
    <t>920924-3</t>
  </si>
  <si>
    <t>920924-6</t>
  </si>
  <si>
    <t>92AMm1208</t>
  </si>
  <si>
    <t>92AMm120C</t>
  </si>
  <si>
    <t>92AMm129</t>
  </si>
  <si>
    <t>Stop35</t>
  </si>
  <si>
    <t>SiO2 norm</t>
  </si>
  <si>
    <t>TiO2 norm</t>
  </si>
  <si>
    <t>Al2O3 norm</t>
  </si>
  <si>
    <t>FeO norm</t>
  </si>
  <si>
    <t>MnO norm</t>
  </si>
  <si>
    <t>MgO norm</t>
  </si>
  <si>
    <t>CaO norm</t>
  </si>
  <si>
    <t>Na2O norm</t>
  </si>
  <si>
    <t>K2O norm</t>
  </si>
  <si>
    <t>P2O5 norm</t>
  </si>
  <si>
    <t>F norm</t>
  </si>
  <si>
    <t>AVE AT6785-2_MI</t>
  </si>
  <si>
    <t>AT6785-3_MI</t>
  </si>
  <si>
    <t>92AMm-54-2_MI1</t>
  </si>
  <si>
    <t>92AMm-54-2_MI2</t>
  </si>
  <si>
    <t>AVE 92AMm-54-2_MI3</t>
  </si>
  <si>
    <t>92AMm-54-6_MI3</t>
  </si>
  <si>
    <t>92AMm-54-6_MI2</t>
  </si>
  <si>
    <t>92AMm-54-4_MI1</t>
  </si>
  <si>
    <t>92AMm-54-5_MI3</t>
  </si>
  <si>
    <t>92AMm-54-7_MI1</t>
  </si>
  <si>
    <t>92AMm-54-8_MI1</t>
  </si>
  <si>
    <t>92AMm-54-8_MI2</t>
  </si>
  <si>
    <t>AVE 92AMm-54-9_b</t>
  </si>
  <si>
    <t>92JBS01 (glass)</t>
  </si>
  <si>
    <t>92JBS03A</t>
  </si>
  <si>
    <t>Glass</t>
  </si>
  <si>
    <t>92AMm102Gs</t>
  </si>
  <si>
    <t>92AMm113C</t>
  </si>
  <si>
    <t>Stop35 (glass)</t>
  </si>
  <si>
    <t>92AMm111B (glass)</t>
  </si>
  <si>
    <t>92AMm129a</t>
  </si>
  <si>
    <t>92AMm120B</t>
  </si>
  <si>
    <t>92AMm120A</t>
  </si>
  <si>
    <t>SiO2 error</t>
  </si>
  <si>
    <t>TiO2 error</t>
  </si>
  <si>
    <t>Al2O3 error</t>
  </si>
  <si>
    <t>FeO error</t>
  </si>
  <si>
    <t>MnO error</t>
  </si>
  <si>
    <t>MgO error</t>
  </si>
  <si>
    <t>CaO error</t>
  </si>
  <si>
    <t>Na2O error</t>
  </si>
  <si>
    <t>K2O error</t>
  </si>
  <si>
    <t>P2O5 error</t>
  </si>
  <si>
    <t>S error</t>
  </si>
  <si>
    <t>Cl error</t>
  </si>
  <si>
    <t>F error</t>
  </si>
  <si>
    <t>H2O</t>
  </si>
  <si>
    <t>H2O norm</t>
  </si>
  <si>
    <t>S_ppm</t>
  </si>
  <si>
    <t>Cl_ppm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</si>
</sst>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2" borderId="0" xfId="0" applyFill="1"/>
    <xf numFmtId="2" fontId="0" fillId="0" borderId="0" xfId="0" applyNumberFormat="1"/>
    <xf numFmtId="2" fontId="0" fillId="3" borderId="0" xfId="0" applyNumberFormat="1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982-1924-465D-83A8-B790FD31886C}">
  <dimension ref="A1:AU63"/>
  <sheetViews>
    <sheetView tabSelected="1" workbookViewId="0">
      <pane xSplit="1" ySplit="1" topLeftCell="S2" activePane="bottomRight" state="frozen"/>
      <selection pane="topRight" activeCell="B1" sqref="B1"/>
      <selection pane="bottomLeft" activeCell="A2" sqref="A2"/>
      <selection pane="bottomRight" activeCell="S1" sqref="S1"/>
    </sheetView>
  </sheetViews>
  <sheetFormatPr defaultRowHeight="14.4" x14ac:dyDescent="0.55000000000000004"/>
  <cols>
    <col min="1" max="1" width="18.3671875" customWidth="1"/>
  </cols>
  <sheetData>
    <row r="1" spans="1:4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87</v>
      </c>
      <c r="Q1" t="s">
        <v>15</v>
      </c>
      <c r="R1" t="s">
        <v>16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89</v>
      </c>
      <c r="AD1" t="s">
        <v>90</v>
      </c>
      <c r="AE1" t="s">
        <v>88</v>
      </c>
      <c r="AF1" t="s">
        <v>50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</row>
    <row r="2" spans="1:47" x14ac:dyDescent="0.55000000000000004">
      <c r="A2" s="2" t="s">
        <v>51</v>
      </c>
      <c r="B2" t="s">
        <v>17</v>
      </c>
      <c r="C2" t="s">
        <v>18</v>
      </c>
      <c r="D2" s="4">
        <v>59.251100000000001</v>
      </c>
      <c r="E2" s="4">
        <v>0.62876799999999999</v>
      </c>
      <c r="F2" s="4">
        <v>13.549250000000001</v>
      </c>
      <c r="G2" s="4">
        <v>6.3820300000000003</v>
      </c>
      <c r="H2" s="4">
        <v>0.17683650000000001</v>
      </c>
      <c r="I2" s="4">
        <v>3.6286300000000002</v>
      </c>
      <c r="J2" s="4">
        <v>4.0678049999999999</v>
      </c>
      <c r="K2" s="4">
        <v>3.9989299999999997</v>
      </c>
      <c r="L2" s="4">
        <v>1.4922299999999999</v>
      </c>
      <c r="M2" s="4">
        <v>0.33462049999999999</v>
      </c>
      <c r="N2" s="4">
        <v>3.5650500000000002E-2</v>
      </c>
      <c r="O2" s="4">
        <v>0.2346135</v>
      </c>
      <c r="P2" s="6">
        <v>1.8759999999999999</v>
      </c>
      <c r="Q2" s="4">
        <v>2.2207999999999999E-2</v>
      </c>
      <c r="R2" s="4">
        <f>SUM(D2:M2)</f>
        <v>93.510199999999998</v>
      </c>
      <c r="S2" s="5">
        <f t="shared" ref="S2:AB2" si="0">D2*100/$R2</f>
        <v>63.363248073472199</v>
      </c>
      <c r="T2" s="5">
        <f t="shared" si="0"/>
        <v>0.67240579102600573</v>
      </c>
      <c r="U2" s="5">
        <f t="shared" si="0"/>
        <v>14.48959578741143</v>
      </c>
      <c r="V2" s="5">
        <f t="shared" si="0"/>
        <v>6.8249559941054558</v>
      </c>
      <c r="W2" s="5">
        <f t="shared" si="0"/>
        <v>0.18910931641681872</v>
      </c>
      <c r="X2" s="5">
        <f t="shared" si="0"/>
        <v>3.8804643771481615</v>
      </c>
      <c r="Y2" s="5">
        <f t="shared" si="0"/>
        <v>4.3501190244486692</v>
      </c>
      <c r="Z2" s="5">
        <f t="shared" si="0"/>
        <v>4.2764639579425561</v>
      </c>
      <c r="AA2" s="5">
        <f t="shared" si="0"/>
        <v>1.595793827839102</v>
      </c>
      <c r="AB2" s="5">
        <f t="shared" si="0"/>
        <v>0.35784385018960496</v>
      </c>
      <c r="AC2" s="5">
        <f>N2*10000</f>
        <v>356.505</v>
      </c>
      <c r="AD2" s="5">
        <f>O2*10000</f>
        <v>2346.1350000000002</v>
      </c>
      <c r="AE2" s="5">
        <f>P2</f>
        <v>1.8759999999999999</v>
      </c>
      <c r="AF2" s="5">
        <f>Q2*10000</f>
        <v>222.07999999999998</v>
      </c>
      <c r="AT2" s="4"/>
      <c r="AU2" s="4"/>
    </row>
    <row r="3" spans="1:47" x14ac:dyDescent="0.55000000000000004">
      <c r="A3" s="3" t="s">
        <v>52</v>
      </c>
      <c r="B3" t="s">
        <v>17</v>
      </c>
      <c r="C3" t="s">
        <v>18</v>
      </c>
      <c r="D3" s="3">
        <v>56.776499999999999</v>
      </c>
      <c r="E3" s="3">
        <v>1.04253</v>
      </c>
      <c r="F3" s="3">
        <v>14.6119</v>
      </c>
      <c r="G3" s="3">
        <v>8.2395200000000006</v>
      </c>
      <c r="H3" s="3">
        <v>0.14180599999999999</v>
      </c>
      <c r="I3" s="3">
        <v>2.2250899999999998</v>
      </c>
      <c r="J3" s="3">
        <v>6.0956299999999999</v>
      </c>
      <c r="K3" s="3">
        <v>4.5491400000000004</v>
      </c>
      <c r="L3" s="3">
        <v>2.59734</v>
      </c>
      <c r="M3" s="3">
        <v>0.54151700000000003</v>
      </c>
      <c r="N3" s="3">
        <v>4.4588999999999997E-2</v>
      </c>
      <c r="O3" s="3">
        <v>0.79779999999999995</v>
      </c>
      <c r="P3" s="3"/>
      <c r="Q3" s="3">
        <v>2.7307999999999999E-2</v>
      </c>
      <c r="R3" s="4">
        <f t="shared" ref="R3:R42" si="1">SUM(D3:M3)</f>
        <v>96.820972999999995</v>
      </c>
      <c r="S3" s="5">
        <f t="shared" ref="S3:S42" si="2">D3*100/$R3</f>
        <v>58.640703807015036</v>
      </c>
      <c r="T3" s="5">
        <f t="shared" ref="T3:AB6" si="3">E3*100/$R3</f>
        <v>1.0767605072508413</v>
      </c>
      <c r="U3" s="5">
        <f t="shared" si="3"/>
        <v>15.091668207052621</v>
      </c>
      <c r="V3" s="5">
        <f t="shared" si="3"/>
        <v>8.5100570100653723</v>
      </c>
      <c r="W3" s="5">
        <f t="shared" si="3"/>
        <v>0.14646206870901823</v>
      </c>
      <c r="X3" s="5">
        <f t="shared" si="3"/>
        <v>2.2981487698951342</v>
      </c>
      <c r="Y3" s="5">
        <f t="shared" si="3"/>
        <v>6.2957743669855502</v>
      </c>
      <c r="Z3" s="5">
        <f t="shared" si="3"/>
        <v>4.6985067997612466</v>
      </c>
      <c r="AA3" s="5">
        <f t="shared" si="3"/>
        <v>2.6826212539714924</v>
      </c>
      <c r="AB3" s="5">
        <f t="shared" si="3"/>
        <v>0.55929720929369309</v>
      </c>
      <c r="AC3" s="5">
        <f t="shared" ref="AC3:AC14" si="4">N3*10000</f>
        <v>445.89</v>
      </c>
      <c r="AD3" s="5">
        <f t="shared" ref="AD3:AD14" si="5">O3*10000</f>
        <v>7977.9999999999991</v>
      </c>
      <c r="AE3" s="5"/>
      <c r="AF3" s="5">
        <f t="shared" ref="AF3:AF14" si="6">Q3*10000</f>
        <v>273.08</v>
      </c>
      <c r="AT3" s="4"/>
      <c r="AU3" s="4"/>
    </row>
    <row r="4" spans="1:47" x14ac:dyDescent="0.55000000000000004">
      <c r="A4" t="s">
        <v>53</v>
      </c>
      <c r="B4" t="s">
        <v>17</v>
      </c>
      <c r="C4" t="s">
        <v>18</v>
      </c>
      <c r="D4">
        <v>59.6907</v>
      </c>
      <c r="E4">
        <v>1.1526000000000001</v>
      </c>
      <c r="F4">
        <v>15.0519</v>
      </c>
      <c r="G4">
        <v>7.5289799999999998</v>
      </c>
      <c r="H4">
        <v>0.14019799999999999</v>
      </c>
      <c r="I4">
        <v>2.4564300000000001</v>
      </c>
      <c r="J4">
        <v>6.19367</v>
      </c>
      <c r="K4">
        <v>4.0493699999999997</v>
      </c>
      <c r="L4">
        <v>1.93432</v>
      </c>
      <c r="M4">
        <v>0.44990799999999997</v>
      </c>
      <c r="N4">
        <v>1.7627E-2</v>
      </c>
      <c r="O4">
        <v>0.61705299999999996</v>
      </c>
      <c r="Q4">
        <v>2.0594000000000001E-2</v>
      </c>
      <c r="R4" s="4">
        <f t="shared" si="1"/>
        <v>98.648075999999989</v>
      </c>
      <c r="S4" s="5">
        <f t="shared" si="2"/>
        <v>60.508732070963049</v>
      </c>
      <c r="T4" s="5">
        <f t="shared" si="3"/>
        <v>1.1683958235536192</v>
      </c>
      <c r="U4" s="5">
        <f t="shared" si="3"/>
        <v>15.258178983642825</v>
      </c>
      <c r="V4" s="5">
        <f t="shared" si="3"/>
        <v>7.6321610165007181</v>
      </c>
      <c r="W4" s="5">
        <f t="shared" si="3"/>
        <v>0.14211934554101185</v>
      </c>
      <c r="X4" s="5">
        <f t="shared" si="3"/>
        <v>2.4900941808535628</v>
      </c>
      <c r="Y4" s="5">
        <f t="shared" si="3"/>
        <v>6.2785512410804651</v>
      </c>
      <c r="Z4" s="5">
        <f t="shared" si="3"/>
        <v>4.1048646503759487</v>
      </c>
      <c r="AA4" s="5">
        <f t="shared" si="3"/>
        <v>1.960828916724134</v>
      </c>
      <c r="AB4" s="5">
        <f t="shared" si="3"/>
        <v>0.45607377076467265</v>
      </c>
      <c r="AC4" s="5">
        <f t="shared" si="4"/>
        <v>176.27</v>
      </c>
      <c r="AD4" s="5">
        <f t="shared" si="5"/>
        <v>6170.53</v>
      </c>
      <c r="AE4" s="5"/>
      <c r="AF4" s="5">
        <f t="shared" si="6"/>
        <v>205.94</v>
      </c>
      <c r="AT4" s="4"/>
      <c r="AU4" s="4"/>
    </row>
    <row r="5" spans="1:47" x14ac:dyDescent="0.55000000000000004">
      <c r="A5" t="s">
        <v>54</v>
      </c>
      <c r="B5" t="s">
        <v>17</v>
      </c>
      <c r="C5" t="s">
        <v>18</v>
      </c>
      <c r="D5">
        <v>59.150599999999997</v>
      </c>
      <c r="E5">
        <v>1.13378</v>
      </c>
      <c r="F5">
        <v>14.7986</v>
      </c>
      <c r="G5">
        <v>7.56121</v>
      </c>
      <c r="H5">
        <v>0.133296</v>
      </c>
      <c r="I5">
        <v>2.3783300000000001</v>
      </c>
      <c r="J5">
        <v>6.0502799999999999</v>
      </c>
      <c r="K5">
        <v>1.62517</v>
      </c>
      <c r="L5">
        <v>2.1615500000000001</v>
      </c>
      <c r="M5">
        <v>0.43521900000000002</v>
      </c>
      <c r="N5">
        <v>2.1703E-2</v>
      </c>
      <c r="O5">
        <v>0.62223499999999998</v>
      </c>
      <c r="Q5">
        <v>4.0763000000000001E-2</v>
      </c>
      <c r="R5" s="4">
        <f t="shared" si="1"/>
        <v>95.428035000000008</v>
      </c>
      <c r="S5" s="5">
        <f t="shared" si="2"/>
        <v>61.984510107538092</v>
      </c>
      <c r="T5" s="5">
        <f t="shared" si="3"/>
        <v>1.1880994929844253</v>
      </c>
      <c r="U5" s="5">
        <f t="shared" si="3"/>
        <v>15.507602142284497</v>
      </c>
      <c r="V5" s="5">
        <f t="shared" si="3"/>
        <v>7.9234681925494943</v>
      </c>
      <c r="W5" s="5">
        <f t="shared" si="3"/>
        <v>0.13968222231548619</v>
      </c>
      <c r="X5" s="5">
        <f t="shared" si="3"/>
        <v>2.492275985772944</v>
      </c>
      <c r="Y5" s="5">
        <f t="shared" si="3"/>
        <v>6.3401494120674284</v>
      </c>
      <c r="Z5" s="5">
        <f t="shared" si="3"/>
        <v>1.7030320282713562</v>
      </c>
      <c r="AA5" s="5">
        <f t="shared" si="3"/>
        <v>2.2651100381559779</v>
      </c>
      <c r="AB5" s="5">
        <f t="shared" si="3"/>
        <v>0.45607037806028383</v>
      </c>
      <c r="AC5" s="5">
        <f t="shared" si="4"/>
        <v>217.03</v>
      </c>
      <c r="AD5" s="5">
        <f t="shared" si="5"/>
        <v>6222.3499999999995</v>
      </c>
      <c r="AE5" s="5"/>
      <c r="AF5" s="5">
        <f t="shared" si="6"/>
        <v>407.63</v>
      </c>
      <c r="AT5" s="4"/>
      <c r="AU5" s="4"/>
    </row>
    <row r="6" spans="1:47" x14ac:dyDescent="0.55000000000000004">
      <c r="A6" s="2" t="s">
        <v>55</v>
      </c>
      <c r="B6" t="s">
        <v>17</v>
      </c>
      <c r="C6" t="s">
        <v>18</v>
      </c>
      <c r="D6" s="4">
        <v>60.730999999999995</v>
      </c>
      <c r="E6" s="4">
        <v>1.1845366666666666</v>
      </c>
      <c r="F6" s="4">
        <v>14.353566666666666</v>
      </c>
      <c r="G6" s="4">
        <v>7.0864700000000012</v>
      </c>
      <c r="H6" s="4">
        <v>0.15329366666666666</v>
      </c>
      <c r="I6" s="4">
        <v>2.2644099999999998</v>
      </c>
      <c r="J6" s="4">
        <v>5.5921733333333341</v>
      </c>
      <c r="K6" s="4">
        <v>3.1259300000000003</v>
      </c>
      <c r="L6" s="4">
        <v>2.1713766666666667</v>
      </c>
      <c r="M6" s="4">
        <v>0.49823599999999996</v>
      </c>
      <c r="N6" s="4">
        <v>1.9284666666666669E-2</v>
      </c>
      <c r="O6" s="4">
        <v>0.61234166666666656</v>
      </c>
      <c r="P6" s="4"/>
      <c r="Q6" s="4">
        <v>4.4918666666666669E-2</v>
      </c>
      <c r="R6" s="4">
        <f t="shared" si="1"/>
        <v>97.160993000000005</v>
      </c>
      <c r="S6" s="5">
        <f t="shared" si="2"/>
        <v>62.505536558277036</v>
      </c>
      <c r="T6" s="5">
        <f t="shared" si="3"/>
        <v>1.2191483743549909</v>
      </c>
      <c r="U6" s="5">
        <f t="shared" si="3"/>
        <v>14.772972386837035</v>
      </c>
      <c r="V6" s="5">
        <f t="shared" si="3"/>
        <v>7.293533939077796</v>
      </c>
      <c r="W6" s="5">
        <f t="shared" si="3"/>
        <v>0.15777284889077517</v>
      </c>
      <c r="X6" s="5">
        <f t="shared" si="3"/>
        <v>2.3305751928657208</v>
      </c>
      <c r="Y6" s="5">
        <f t="shared" si="3"/>
        <v>5.7555744961698094</v>
      </c>
      <c r="Z6" s="5">
        <f t="shared" si="3"/>
        <v>3.2172684772787368</v>
      </c>
      <c r="AA6" s="5">
        <f t="shared" si="3"/>
        <v>2.2348234611668354</v>
      </c>
      <c r="AB6" s="5">
        <f t="shared" si="3"/>
        <v>0.51279426508125536</v>
      </c>
      <c r="AC6" s="5">
        <f t="shared" si="4"/>
        <v>192.84666666666669</v>
      </c>
      <c r="AD6" s="5">
        <f t="shared" si="5"/>
        <v>6123.4166666666661</v>
      </c>
      <c r="AE6" s="5"/>
      <c r="AF6" s="5">
        <f t="shared" si="6"/>
        <v>449.18666666666667</v>
      </c>
      <c r="AT6" s="4"/>
      <c r="AU6" s="4"/>
    </row>
    <row r="7" spans="1:47" x14ac:dyDescent="0.55000000000000004">
      <c r="A7" t="s">
        <v>56</v>
      </c>
      <c r="B7" t="s">
        <v>17</v>
      </c>
      <c r="C7" t="s">
        <v>18</v>
      </c>
      <c r="D7">
        <v>63.567799999999998</v>
      </c>
      <c r="E7">
        <v>0.51779500000000001</v>
      </c>
      <c r="F7">
        <v>13.864699999999999</v>
      </c>
      <c r="G7">
        <v>4.0959599999999998</v>
      </c>
      <c r="H7">
        <v>7.9554E-2</v>
      </c>
      <c r="I7">
        <v>0.94572800000000001</v>
      </c>
      <c r="J7">
        <v>4.0976499999999998</v>
      </c>
      <c r="K7">
        <v>4.1751500000000004</v>
      </c>
      <c r="L7">
        <v>1.93083</v>
      </c>
      <c r="M7">
        <v>0.12380099999999999</v>
      </c>
      <c r="N7">
        <v>1.1776E-2</v>
      </c>
      <c r="O7">
        <v>0.30810300000000002</v>
      </c>
      <c r="P7" s="6">
        <v>0.85</v>
      </c>
      <c r="Q7">
        <v>2.5160999999999999E-2</v>
      </c>
      <c r="R7" s="4">
        <f t="shared" si="1"/>
        <v>93.398968000000011</v>
      </c>
      <c r="S7" s="5">
        <f t="shared" si="2"/>
        <v>68.060495058146671</v>
      </c>
      <c r="T7" s="5">
        <f t="shared" ref="T7:T42" si="7">E7*100/$R7</f>
        <v>0.5543904939078127</v>
      </c>
      <c r="U7" s="5">
        <f t="shared" ref="U7:U42" si="8">F7*100/$R7</f>
        <v>14.844596569846464</v>
      </c>
      <c r="V7" s="5">
        <f t="shared" ref="V7:V42" si="9">G7*100/$R7</f>
        <v>4.3854446014863884</v>
      </c>
      <c r="W7" s="5">
        <f t="shared" ref="W7:W33" si="10">H7*100/$R7</f>
        <v>8.5176530001916065E-2</v>
      </c>
      <c r="X7" s="5">
        <f t="shared" ref="X7:X42" si="11">I7*100/$R7</f>
        <v>1.0125679332987918</v>
      </c>
      <c r="Y7" s="5">
        <f t="shared" ref="Y7:Y42" si="12">J7*100/$R7</f>
        <v>4.3872540433209064</v>
      </c>
      <c r="Z7" s="5">
        <f t="shared" ref="Z7:Z42" si="13">K7*100/$R7</f>
        <v>4.470231405554717</v>
      </c>
      <c r="AA7" s="5">
        <f t="shared" ref="AA7:AA42" si="14">L7*100/$R7</f>
        <v>2.067292649314926</v>
      </c>
      <c r="AB7" s="5">
        <f t="shared" ref="AB7:AB42" si="15">M7*100/$R7</f>
        <v>0.13255071512139188</v>
      </c>
      <c r="AC7" s="5">
        <f t="shared" si="4"/>
        <v>117.76</v>
      </c>
      <c r="AD7" s="5">
        <f t="shared" si="5"/>
        <v>3081.03</v>
      </c>
      <c r="AE7" s="5">
        <f t="shared" ref="AE7:AE8" si="16">P7</f>
        <v>0.85</v>
      </c>
      <c r="AF7" s="5">
        <f t="shared" si="6"/>
        <v>251.60999999999999</v>
      </c>
      <c r="AT7" s="4"/>
      <c r="AU7" s="4"/>
    </row>
    <row r="8" spans="1:47" x14ac:dyDescent="0.55000000000000004">
      <c r="A8" t="s">
        <v>57</v>
      </c>
      <c r="B8" t="s">
        <v>17</v>
      </c>
      <c r="C8" t="s">
        <v>18</v>
      </c>
      <c r="D8">
        <v>63.113700000000001</v>
      </c>
      <c r="E8">
        <v>0.48419899999999999</v>
      </c>
      <c r="F8">
        <v>14.09</v>
      </c>
      <c r="G8">
        <v>4.7461900000000004</v>
      </c>
      <c r="H8">
        <v>9.6453999999999998E-2</v>
      </c>
      <c r="I8">
        <v>1.19831</v>
      </c>
      <c r="J8">
        <v>3.5346799999999998</v>
      </c>
      <c r="K8">
        <v>4.3420100000000001</v>
      </c>
      <c r="L8">
        <v>1.7762199999999999</v>
      </c>
      <c r="M8">
        <v>0.341611</v>
      </c>
      <c r="N8">
        <v>2.3212E-2</v>
      </c>
      <c r="O8">
        <v>0.29354599999999997</v>
      </c>
      <c r="P8" s="6">
        <v>2.65</v>
      </c>
      <c r="Q8">
        <v>0</v>
      </c>
      <c r="R8" s="4">
        <f t="shared" si="1"/>
        <v>93.723373999999993</v>
      </c>
      <c r="S8" s="5">
        <f t="shared" si="2"/>
        <v>67.340405393429393</v>
      </c>
      <c r="T8" s="5">
        <f t="shared" si="7"/>
        <v>0.51662566053159809</v>
      </c>
      <c r="U8" s="5">
        <f t="shared" si="8"/>
        <v>15.033603036954261</v>
      </c>
      <c r="V8" s="5">
        <f t="shared" si="9"/>
        <v>5.0640409083010614</v>
      </c>
      <c r="W8" s="5">
        <f t="shared" si="10"/>
        <v>0.10291349519704659</v>
      </c>
      <c r="X8" s="5">
        <f t="shared" si="11"/>
        <v>1.2785604581414238</v>
      </c>
      <c r="Y8" s="5">
        <f t="shared" si="12"/>
        <v>3.7713964501534054</v>
      </c>
      <c r="Z8" s="5">
        <f t="shared" si="13"/>
        <v>4.6327930959890544</v>
      </c>
      <c r="AA8" s="5">
        <f t="shared" si="14"/>
        <v>1.8951729159899855</v>
      </c>
      <c r="AB8" s="5">
        <f t="shared" si="15"/>
        <v>0.36448858531277373</v>
      </c>
      <c r="AC8" s="5">
        <f t="shared" si="4"/>
        <v>232.12</v>
      </c>
      <c r="AD8" s="5">
        <f t="shared" si="5"/>
        <v>2935.4599999999996</v>
      </c>
      <c r="AE8" s="5">
        <f t="shared" si="16"/>
        <v>2.65</v>
      </c>
      <c r="AF8" s="5">
        <f t="shared" si="6"/>
        <v>0</v>
      </c>
      <c r="AT8" s="4"/>
      <c r="AU8" s="4"/>
    </row>
    <row r="9" spans="1:47" x14ac:dyDescent="0.55000000000000004">
      <c r="A9" t="s">
        <v>58</v>
      </c>
      <c r="B9" t="s">
        <v>17</v>
      </c>
      <c r="C9" t="s">
        <v>18</v>
      </c>
      <c r="D9">
        <v>70.481399999999994</v>
      </c>
      <c r="E9">
        <v>0.48134399999999999</v>
      </c>
      <c r="F9">
        <v>13.2013</v>
      </c>
      <c r="G9">
        <v>2.8827099999999999</v>
      </c>
      <c r="H9">
        <v>7.6309000000000002E-2</v>
      </c>
      <c r="I9">
        <v>0.58196800000000004</v>
      </c>
      <c r="J9">
        <v>1.70546</v>
      </c>
      <c r="K9">
        <v>4.8077199999999998</v>
      </c>
      <c r="L9">
        <v>2.9617499999999999</v>
      </c>
      <c r="M9">
        <v>7.6629999999999997E-3</v>
      </c>
      <c r="N9">
        <v>6.3220000000000004E-3</v>
      </c>
      <c r="O9">
        <v>0.42998700000000001</v>
      </c>
      <c r="Q9">
        <v>4.9451000000000002E-2</v>
      </c>
      <c r="R9" s="4">
        <f t="shared" si="1"/>
        <v>97.187623999999985</v>
      </c>
      <c r="S9" s="5">
        <f t="shared" si="2"/>
        <v>72.520962134026448</v>
      </c>
      <c r="T9" s="5">
        <f t="shared" si="7"/>
        <v>0.4952729372208956</v>
      </c>
      <c r="U9" s="5">
        <f t="shared" si="8"/>
        <v>13.583313858974472</v>
      </c>
      <c r="V9" s="5">
        <f t="shared" si="9"/>
        <v>2.9661286914473806</v>
      </c>
      <c r="W9" s="5">
        <f t="shared" si="10"/>
        <v>7.8517198856512857E-2</v>
      </c>
      <c r="X9" s="5">
        <f t="shared" si="11"/>
        <v>0.59880875367423336</v>
      </c>
      <c r="Y9" s="5">
        <f t="shared" si="12"/>
        <v>1.7548119089731016</v>
      </c>
      <c r="Z9" s="5">
        <f t="shared" si="13"/>
        <v>4.9468438491715787</v>
      </c>
      <c r="AA9" s="5">
        <f t="shared" si="14"/>
        <v>3.0474559188729633</v>
      </c>
      <c r="AB9" s="5">
        <f t="shared" si="15"/>
        <v>7.8847487824169893E-3</v>
      </c>
      <c r="AC9" s="5">
        <f t="shared" si="4"/>
        <v>63.220000000000006</v>
      </c>
      <c r="AD9" s="5">
        <f t="shared" si="5"/>
        <v>4299.87</v>
      </c>
      <c r="AE9" s="5"/>
      <c r="AF9" s="5">
        <f t="shared" si="6"/>
        <v>494.51</v>
      </c>
      <c r="AT9" s="4"/>
      <c r="AU9" s="4"/>
    </row>
    <row r="10" spans="1:47" x14ac:dyDescent="0.55000000000000004">
      <c r="A10" t="s">
        <v>59</v>
      </c>
      <c r="B10" t="s">
        <v>17</v>
      </c>
      <c r="C10" t="s">
        <v>18</v>
      </c>
      <c r="D10">
        <v>57.431600000000003</v>
      </c>
      <c r="E10">
        <v>0.62677099999999997</v>
      </c>
      <c r="F10">
        <v>15.901999999999999</v>
      </c>
      <c r="G10">
        <v>5.9119900000000003</v>
      </c>
      <c r="H10">
        <v>0.156996</v>
      </c>
      <c r="I10">
        <v>2.78417</v>
      </c>
      <c r="J10">
        <v>5.4014800000000003</v>
      </c>
      <c r="K10">
        <v>4.4286199999999996</v>
      </c>
      <c r="L10">
        <v>1.28041</v>
      </c>
      <c r="M10">
        <v>0.41707899999999998</v>
      </c>
      <c r="N10">
        <v>8.8632000000000002E-2</v>
      </c>
      <c r="O10">
        <v>0.22697500000000001</v>
      </c>
      <c r="Q10">
        <v>5.1381999999999997E-2</v>
      </c>
      <c r="R10" s="4">
        <f t="shared" si="1"/>
        <v>94.341116000000014</v>
      </c>
      <c r="S10" s="5">
        <f t="shared" si="2"/>
        <v>60.876532348843519</v>
      </c>
      <c r="T10" s="5">
        <f t="shared" si="7"/>
        <v>0.66436674334019952</v>
      </c>
      <c r="U10" s="5">
        <f t="shared" si="8"/>
        <v>16.855853178586521</v>
      </c>
      <c r="V10" s="5">
        <f t="shared" si="9"/>
        <v>6.2666102020671453</v>
      </c>
      <c r="W10" s="5">
        <f t="shared" si="10"/>
        <v>0.16641312574678466</v>
      </c>
      <c r="X10" s="5">
        <f t="shared" si="11"/>
        <v>2.9511734841042161</v>
      </c>
      <c r="Y10" s="5">
        <f t="shared" si="12"/>
        <v>5.7254781679707918</v>
      </c>
      <c r="Z10" s="5">
        <f t="shared" si="13"/>
        <v>4.6942628916961286</v>
      </c>
      <c r="AA10" s="5">
        <f t="shared" si="14"/>
        <v>1.3572131158592609</v>
      </c>
      <c r="AB10" s="5">
        <f t="shared" si="15"/>
        <v>0.44209674178541614</v>
      </c>
      <c r="AC10" s="5">
        <f t="shared" si="4"/>
        <v>886.32</v>
      </c>
      <c r="AD10" s="5">
        <f t="shared" si="5"/>
        <v>2269.75</v>
      </c>
      <c r="AE10" s="5"/>
      <c r="AF10" s="5">
        <f t="shared" si="6"/>
        <v>513.81999999999994</v>
      </c>
      <c r="AT10" s="4"/>
      <c r="AU10" s="4"/>
    </row>
    <row r="11" spans="1:47" x14ac:dyDescent="0.55000000000000004">
      <c r="A11" t="s">
        <v>60</v>
      </c>
      <c r="B11" t="s">
        <v>17</v>
      </c>
      <c r="C11" t="s">
        <v>18</v>
      </c>
      <c r="D11">
        <v>67.642899999999997</v>
      </c>
      <c r="E11">
        <v>0.33316000000000001</v>
      </c>
      <c r="F11">
        <v>18.3367</v>
      </c>
      <c r="G11">
        <v>1.7879400000000001</v>
      </c>
      <c r="H11">
        <v>4.3763999999999997E-2</v>
      </c>
      <c r="I11">
        <v>6.6710000000000005E-2</v>
      </c>
      <c r="J11">
        <v>2.4308000000000001</v>
      </c>
      <c r="K11">
        <v>6.8392099999999996</v>
      </c>
      <c r="L11">
        <v>2.6288</v>
      </c>
      <c r="M11">
        <v>0.23364699999999999</v>
      </c>
      <c r="N11">
        <v>1.578E-3</v>
      </c>
      <c r="O11">
        <v>0.92402499999999999</v>
      </c>
      <c r="Q11">
        <v>3.107E-2</v>
      </c>
      <c r="R11" s="4">
        <f t="shared" si="1"/>
        <v>100.343631</v>
      </c>
      <c r="S11" s="5">
        <f t="shared" si="2"/>
        <v>67.411254033651616</v>
      </c>
      <c r="T11" s="5">
        <f t="shared" si="7"/>
        <v>0.33201907951686543</v>
      </c>
      <c r="U11" s="5">
        <f t="shared" si="8"/>
        <v>18.27390519683307</v>
      </c>
      <c r="V11" s="5">
        <f t="shared" si="9"/>
        <v>1.7818171239986322</v>
      </c>
      <c r="W11" s="5">
        <f t="shared" si="10"/>
        <v>4.3614128334662307E-2</v>
      </c>
      <c r="X11" s="5">
        <f t="shared" si="11"/>
        <v>6.6481548789080594E-2</v>
      </c>
      <c r="Y11" s="5">
        <f t="shared" si="12"/>
        <v>2.4224756227926414</v>
      </c>
      <c r="Z11" s="5">
        <f t="shared" si="13"/>
        <v>6.8157888366626871</v>
      </c>
      <c r="AA11" s="5">
        <f t="shared" si="14"/>
        <v>2.6197975634347932</v>
      </c>
      <c r="AB11" s="5">
        <f t="shared" si="15"/>
        <v>0.23284686598594384</v>
      </c>
      <c r="AC11" s="5">
        <f t="shared" si="4"/>
        <v>15.78</v>
      </c>
      <c r="AD11" s="5">
        <f t="shared" si="5"/>
        <v>9240.25</v>
      </c>
      <c r="AE11" s="5"/>
      <c r="AF11" s="5">
        <f t="shared" si="6"/>
        <v>310.7</v>
      </c>
      <c r="AT11" s="4"/>
      <c r="AU11" s="4"/>
    </row>
    <row r="12" spans="1:47" x14ac:dyDescent="0.55000000000000004">
      <c r="A12" t="s">
        <v>61</v>
      </c>
      <c r="B12" t="s">
        <v>17</v>
      </c>
      <c r="C12" t="s">
        <v>18</v>
      </c>
      <c r="D12">
        <v>59.513300000000001</v>
      </c>
      <c r="E12">
        <v>0.68606500000000004</v>
      </c>
      <c r="F12">
        <v>16.822500000000002</v>
      </c>
      <c r="G12">
        <v>5.1865500000000004</v>
      </c>
      <c r="H12">
        <v>0.109973</v>
      </c>
      <c r="I12">
        <v>0.92157699999999998</v>
      </c>
      <c r="J12">
        <v>4.2108100000000004</v>
      </c>
      <c r="K12">
        <v>5.2992100000000004</v>
      </c>
      <c r="L12">
        <v>1.59737</v>
      </c>
      <c r="M12">
        <v>0.28231499999999998</v>
      </c>
      <c r="N12">
        <v>0.109051</v>
      </c>
      <c r="O12">
        <v>0.20837700000000001</v>
      </c>
      <c r="Q12">
        <v>4.3806999999999999E-2</v>
      </c>
      <c r="R12" s="4">
        <f t="shared" si="1"/>
        <v>94.62966999999999</v>
      </c>
      <c r="S12" s="5">
        <f t="shared" si="2"/>
        <v>62.890740293187122</v>
      </c>
      <c r="T12" s="5">
        <f t="shared" si="7"/>
        <v>0.72499988639926571</v>
      </c>
      <c r="U12" s="5">
        <f t="shared" si="8"/>
        <v>17.777193981549342</v>
      </c>
      <c r="V12" s="5">
        <f t="shared" si="9"/>
        <v>5.4808919866253376</v>
      </c>
      <c r="W12" s="5">
        <f t="shared" si="10"/>
        <v>0.11621407957990346</v>
      </c>
      <c r="X12" s="5">
        <f t="shared" si="11"/>
        <v>0.97387743188790576</v>
      </c>
      <c r="Y12" s="5">
        <f t="shared" si="12"/>
        <v>4.4497777494098845</v>
      </c>
      <c r="Z12" s="5">
        <f t="shared" si="13"/>
        <v>5.5999455561876115</v>
      </c>
      <c r="AA12" s="5">
        <f t="shared" si="14"/>
        <v>1.688022371841728</v>
      </c>
      <c r="AB12" s="5">
        <f t="shared" si="15"/>
        <v>0.29833666333191272</v>
      </c>
      <c r="AC12" s="5">
        <f t="shared" si="4"/>
        <v>1090.51</v>
      </c>
      <c r="AD12" s="5">
        <f t="shared" si="5"/>
        <v>2083.77</v>
      </c>
      <c r="AE12" s="5"/>
      <c r="AF12" s="5">
        <f t="shared" si="6"/>
        <v>438.07</v>
      </c>
      <c r="AT12" s="4"/>
      <c r="AU12" s="4"/>
    </row>
    <row r="13" spans="1:47" x14ac:dyDescent="0.55000000000000004">
      <c r="A13" t="s">
        <v>62</v>
      </c>
      <c r="B13" t="s">
        <v>17</v>
      </c>
      <c r="C13" t="s">
        <v>18</v>
      </c>
      <c r="D13">
        <v>60.105699999999999</v>
      </c>
      <c r="E13">
        <v>0.71162000000000003</v>
      </c>
      <c r="F13">
        <v>17.048300000000001</v>
      </c>
      <c r="G13">
        <v>5.2684899999999999</v>
      </c>
      <c r="H13">
        <v>9.0817999999999996E-2</v>
      </c>
      <c r="I13">
        <v>0.86526400000000003</v>
      </c>
      <c r="J13">
        <v>4.1063000000000001</v>
      </c>
      <c r="K13">
        <v>5.22227</v>
      </c>
      <c r="L13">
        <v>1.5139400000000001</v>
      </c>
      <c r="M13">
        <v>0.29800100000000002</v>
      </c>
      <c r="N13">
        <v>7.5756000000000004E-2</v>
      </c>
      <c r="O13">
        <v>0.17178399999999999</v>
      </c>
      <c r="Q13">
        <v>8.5899999999999995E-4</v>
      </c>
      <c r="R13" s="4">
        <f t="shared" si="1"/>
        <v>95.230703000000005</v>
      </c>
      <c r="S13" s="5">
        <f t="shared" si="2"/>
        <v>63.115883960239159</v>
      </c>
      <c r="T13" s="5">
        <f t="shared" si="7"/>
        <v>0.74725900112277865</v>
      </c>
      <c r="U13" s="5">
        <f t="shared" si="8"/>
        <v>17.902104534500811</v>
      </c>
      <c r="V13" s="5">
        <f t="shared" si="9"/>
        <v>5.5323439122359508</v>
      </c>
      <c r="W13" s="5">
        <f t="shared" si="10"/>
        <v>9.5366302189326471E-2</v>
      </c>
      <c r="X13" s="5">
        <f t="shared" si="11"/>
        <v>0.90859772399243977</v>
      </c>
      <c r="Y13" s="5">
        <f t="shared" si="12"/>
        <v>4.3119496870667851</v>
      </c>
      <c r="Z13" s="5">
        <f t="shared" si="13"/>
        <v>5.4838091450401238</v>
      </c>
      <c r="AA13" s="5">
        <f t="shared" si="14"/>
        <v>1.589760394817205</v>
      </c>
      <c r="AB13" s="5">
        <f t="shared" si="15"/>
        <v>0.31292533879540929</v>
      </c>
      <c r="AC13" s="5">
        <f t="shared" si="4"/>
        <v>757.56000000000006</v>
      </c>
      <c r="AD13" s="5">
        <f t="shared" si="5"/>
        <v>1717.84</v>
      </c>
      <c r="AE13" s="5"/>
      <c r="AF13" s="5">
        <f t="shared" si="6"/>
        <v>8.59</v>
      </c>
      <c r="AT13" s="4"/>
      <c r="AU13" s="4"/>
    </row>
    <row r="14" spans="1:47" x14ac:dyDescent="0.55000000000000004">
      <c r="A14" s="2" t="s">
        <v>63</v>
      </c>
      <c r="B14" t="s">
        <v>17</v>
      </c>
      <c r="C14" t="s">
        <v>18</v>
      </c>
      <c r="D14" s="4">
        <v>57.389400000000002</v>
      </c>
      <c r="E14" s="4">
        <v>0.7005203333333333</v>
      </c>
      <c r="F14" s="4">
        <v>17.045066666666667</v>
      </c>
      <c r="G14" s="4">
        <v>7.3113033333333339</v>
      </c>
      <c r="H14" s="4">
        <v>0.16627866666666666</v>
      </c>
      <c r="I14" s="4">
        <v>3.0496633333333336</v>
      </c>
      <c r="J14" s="4">
        <v>6.2275466666666661</v>
      </c>
      <c r="K14" s="4">
        <v>4.2729900000000001</v>
      </c>
      <c r="L14" s="4">
        <v>0.64441500000000007</v>
      </c>
      <c r="M14" s="4">
        <v>0</v>
      </c>
      <c r="N14" s="4">
        <v>4.714666666666667E-2</v>
      </c>
      <c r="O14" s="4">
        <v>0</v>
      </c>
      <c r="P14" s="4"/>
      <c r="Q14" s="4">
        <v>7.0796666666666673E-3</v>
      </c>
      <c r="R14" s="4">
        <f t="shared" si="1"/>
        <v>96.807183999999992</v>
      </c>
      <c r="S14" s="5">
        <f t="shared" si="2"/>
        <v>59.282170628989697</v>
      </c>
      <c r="T14" s="5">
        <f t="shared" si="7"/>
        <v>0.7236243266133362</v>
      </c>
      <c r="U14" s="5">
        <f t="shared" si="8"/>
        <v>17.60723322627241</v>
      </c>
      <c r="V14" s="5">
        <f t="shared" si="9"/>
        <v>7.5524388079848856</v>
      </c>
      <c r="W14" s="5">
        <f t="shared" si="10"/>
        <v>0.17176273474359782</v>
      </c>
      <c r="X14" s="5">
        <f t="shared" si="11"/>
        <v>3.150244855106346</v>
      </c>
      <c r="Y14" s="5">
        <f t="shared" si="12"/>
        <v>6.432938558223805</v>
      </c>
      <c r="Z14" s="5">
        <f t="shared" si="13"/>
        <v>4.4139182893699296</v>
      </c>
      <c r="AA14" s="5">
        <f t="shared" si="14"/>
        <v>0.66566857269600999</v>
      </c>
      <c r="AB14" s="5">
        <f t="shared" si="15"/>
        <v>0</v>
      </c>
      <c r="AC14" s="5">
        <f t="shared" si="4"/>
        <v>471.4666666666667</v>
      </c>
      <c r="AD14" s="5">
        <f t="shared" si="5"/>
        <v>0</v>
      </c>
      <c r="AE14" s="5"/>
      <c r="AF14" s="5">
        <f t="shared" si="6"/>
        <v>70.796666666666667</v>
      </c>
      <c r="AT14" s="4"/>
      <c r="AU14" s="4"/>
    </row>
    <row r="15" spans="1:47" x14ac:dyDescent="0.55000000000000004">
      <c r="A15" t="s">
        <v>22</v>
      </c>
      <c r="B15" t="s">
        <v>17</v>
      </c>
      <c r="C15" t="s">
        <v>21</v>
      </c>
      <c r="D15">
        <v>56.68</v>
      </c>
      <c r="E15">
        <v>0.68</v>
      </c>
      <c r="F15">
        <v>19.14</v>
      </c>
      <c r="G15">
        <v>6.97</v>
      </c>
      <c r="H15">
        <v>0.15</v>
      </c>
      <c r="I15">
        <v>3.56</v>
      </c>
      <c r="J15">
        <v>7.64</v>
      </c>
      <c r="K15">
        <v>4.03</v>
      </c>
      <c r="L15">
        <v>0.88</v>
      </c>
      <c r="M15">
        <v>0.28999999999999998</v>
      </c>
      <c r="R15" s="4">
        <f t="shared" si="1"/>
        <v>100.02000000000001</v>
      </c>
      <c r="S15" s="5">
        <f t="shared" si="2"/>
        <v>56.668666266746648</v>
      </c>
      <c r="T15" s="5">
        <f t="shared" si="7"/>
        <v>0.67986402719456107</v>
      </c>
      <c r="U15" s="5">
        <f t="shared" si="8"/>
        <v>19.136172765446908</v>
      </c>
      <c r="V15" s="5">
        <f t="shared" si="9"/>
        <v>6.9686062787442502</v>
      </c>
      <c r="W15" s="5">
        <f t="shared" si="10"/>
        <v>0.14997000599880023</v>
      </c>
      <c r="X15" s="5">
        <f t="shared" si="11"/>
        <v>3.5592881423715252</v>
      </c>
      <c r="Y15" s="5">
        <f t="shared" si="12"/>
        <v>7.6384723055388912</v>
      </c>
      <c r="Z15" s="5">
        <f t="shared" si="13"/>
        <v>4.0291941611677657</v>
      </c>
      <c r="AA15" s="5">
        <f t="shared" si="14"/>
        <v>0.87982403519296126</v>
      </c>
      <c r="AB15" s="5">
        <f t="shared" si="15"/>
        <v>0.2899420115976804</v>
      </c>
      <c r="AD15" s="4"/>
      <c r="AE15" s="4"/>
    </row>
    <row r="16" spans="1:47" x14ac:dyDescent="0.55000000000000004">
      <c r="A16" t="s">
        <v>23</v>
      </c>
      <c r="B16" t="s">
        <v>17</v>
      </c>
      <c r="C16" t="s">
        <v>21</v>
      </c>
      <c r="D16">
        <v>56.64</v>
      </c>
      <c r="E16">
        <v>0.68</v>
      </c>
      <c r="F16">
        <v>19.079999999999998</v>
      </c>
      <c r="G16">
        <v>7.03</v>
      </c>
      <c r="H16">
        <v>0.15</v>
      </c>
      <c r="I16">
        <v>3.58</v>
      </c>
      <c r="J16">
        <v>7.59</v>
      </c>
      <c r="K16">
        <v>4.0599999999999996</v>
      </c>
      <c r="L16">
        <v>0.87</v>
      </c>
      <c r="M16">
        <v>0.28999999999999998</v>
      </c>
      <c r="R16" s="4">
        <f t="shared" si="1"/>
        <v>99.970000000000027</v>
      </c>
      <c r="S16" s="5">
        <f t="shared" si="2"/>
        <v>56.656997099129725</v>
      </c>
      <c r="T16" s="5">
        <f t="shared" si="7"/>
        <v>0.6802040612183653</v>
      </c>
      <c r="U16" s="5">
        <f t="shared" si="8"/>
        <v>19.085725717715306</v>
      </c>
      <c r="V16" s="5">
        <f t="shared" si="9"/>
        <v>7.0321096328898651</v>
      </c>
      <c r="W16" s="5">
        <f t="shared" si="10"/>
        <v>0.15004501350405117</v>
      </c>
      <c r="X16" s="5">
        <f t="shared" si="11"/>
        <v>3.5810743222966881</v>
      </c>
      <c r="Y16" s="5">
        <f t="shared" si="12"/>
        <v>7.5922776833049896</v>
      </c>
      <c r="Z16" s="5">
        <f t="shared" si="13"/>
        <v>4.0612183655096512</v>
      </c>
      <c r="AA16" s="5">
        <f t="shared" si="14"/>
        <v>0.87026107832349686</v>
      </c>
      <c r="AB16" s="5">
        <f t="shared" si="15"/>
        <v>0.29008702610783221</v>
      </c>
      <c r="AD16" s="4"/>
      <c r="AE16" s="4"/>
    </row>
    <row r="17" spans="1:31" x14ac:dyDescent="0.55000000000000004">
      <c r="A17" t="s">
        <v>24</v>
      </c>
      <c r="B17" t="s">
        <v>17</v>
      </c>
      <c r="C17" t="s">
        <v>21</v>
      </c>
      <c r="D17">
        <v>56.61</v>
      </c>
      <c r="E17">
        <v>0.68</v>
      </c>
      <c r="F17">
        <v>19.13</v>
      </c>
      <c r="G17">
        <v>7.01</v>
      </c>
      <c r="H17">
        <v>0.15</v>
      </c>
      <c r="I17">
        <v>3.54</v>
      </c>
      <c r="J17">
        <v>7.61</v>
      </c>
      <c r="K17">
        <v>4.09</v>
      </c>
      <c r="L17">
        <v>0.88</v>
      </c>
      <c r="R17" s="4">
        <f t="shared" si="1"/>
        <v>99.700000000000017</v>
      </c>
      <c r="S17" s="5">
        <f t="shared" si="2"/>
        <v>56.780341023069198</v>
      </c>
      <c r="T17" s="5">
        <f t="shared" si="7"/>
        <v>0.68204613841524564</v>
      </c>
      <c r="U17" s="5">
        <f t="shared" si="8"/>
        <v>19.18756268806419</v>
      </c>
      <c r="V17" s="5">
        <f t="shared" si="9"/>
        <v>7.0310932798395172</v>
      </c>
      <c r="W17" s="5">
        <f t="shared" si="10"/>
        <v>0.15045135406218654</v>
      </c>
      <c r="X17" s="5">
        <f t="shared" si="11"/>
        <v>3.5506519558676022</v>
      </c>
      <c r="Y17" s="5">
        <f t="shared" si="12"/>
        <v>7.6328986960882634</v>
      </c>
      <c r="Z17" s="5">
        <f t="shared" si="13"/>
        <v>4.1023069207622864</v>
      </c>
      <c r="AA17" s="5">
        <f t="shared" si="14"/>
        <v>0.88264794383149436</v>
      </c>
      <c r="AB17" s="5">
        <f t="shared" si="15"/>
        <v>0</v>
      </c>
      <c r="AD17" s="4"/>
      <c r="AE17" s="4"/>
    </row>
    <row r="18" spans="1:31" x14ac:dyDescent="0.55000000000000004">
      <c r="A18" s="1">
        <v>9209268</v>
      </c>
      <c r="B18" t="s">
        <v>19</v>
      </c>
      <c r="C18" t="s">
        <v>21</v>
      </c>
      <c r="D18">
        <v>56.74</v>
      </c>
      <c r="E18">
        <v>0.69</v>
      </c>
      <c r="F18">
        <v>18.98</v>
      </c>
      <c r="G18">
        <v>7.07</v>
      </c>
      <c r="H18">
        <v>0.15</v>
      </c>
      <c r="I18">
        <v>3.67</v>
      </c>
      <c r="J18">
        <v>7.58</v>
      </c>
      <c r="K18">
        <v>3.94</v>
      </c>
      <c r="L18">
        <v>0.88</v>
      </c>
      <c r="R18" s="4">
        <f t="shared" si="1"/>
        <v>99.699999999999989</v>
      </c>
      <c r="S18" s="5">
        <f t="shared" si="2"/>
        <v>56.910732196589777</v>
      </c>
      <c r="T18" s="5">
        <f t="shared" si="7"/>
        <v>0.69207622868605823</v>
      </c>
      <c r="U18" s="5">
        <f t="shared" si="8"/>
        <v>19.037111334002009</v>
      </c>
      <c r="V18" s="5">
        <f t="shared" si="9"/>
        <v>7.0912738214643936</v>
      </c>
      <c r="W18" s="5">
        <f t="shared" si="10"/>
        <v>0.15045135406218657</v>
      </c>
      <c r="X18" s="5">
        <f t="shared" si="11"/>
        <v>3.6810431293881649</v>
      </c>
      <c r="Y18" s="5">
        <f t="shared" si="12"/>
        <v>7.6028084252758283</v>
      </c>
      <c r="Z18" s="5">
        <f t="shared" si="13"/>
        <v>3.9518555667001007</v>
      </c>
      <c r="AA18" s="5">
        <f t="shared" si="14"/>
        <v>0.88264794383149459</v>
      </c>
      <c r="AB18" s="5">
        <f t="shared" si="15"/>
        <v>0</v>
      </c>
      <c r="AD18" s="4"/>
      <c r="AE18" s="4"/>
    </row>
    <row r="19" spans="1:31" x14ac:dyDescent="0.55000000000000004">
      <c r="A19" t="s">
        <v>25</v>
      </c>
      <c r="B19" t="s">
        <v>19</v>
      </c>
      <c r="C19" t="s">
        <v>21</v>
      </c>
      <c r="D19">
        <v>56.51</v>
      </c>
      <c r="E19">
        <v>0.68</v>
      </c>
      <c r="F19">
        <v>19.27</v>
      </c>
      <c r="G19">
        <v>6.91</v>
      </c>
      <c r="H19">
        <v>0.15</v>
      </c>
      <c r="I19">
        <v>3.58</v>
      </c>
      <c r="J19">
        <v>7.58</v>
      </c>
      <c r="K19">
        <v>4.12</v>
      </c>
      <c r="L19">
        <v>0.9</v>
      </c>
      <c r="M19">
        <v>0.3</v>
      </c>
      <c r="R19" s="4">
        <f t="shared" si="1"/>
        <v>100</v>
      </c>
      <c r="S19" s="5">
        <f t="shared" si="2"/>
        <v>56.51</v>
      </c>
      <c r="T19" s="5">
        <f t="shared" si="7"/>
        <v>0.68</v>
      </c>
      <c r="U19" s="5">
        <f t="shared" si="8"/>
        <v>19.27</v>
      </c>
      <c r="V19" s="5">
        <f t="shared" si="9"/>
        <v>6.91</v>
      </c>
      <c r="W19" s="5">
        <f t="shared" si="10"/>
        <v>0.15</v>
      </c>
      <c r="X19" s="5">
        <f t="shared" si="11"/>
        <v>3.58</v>
      </c>
      <c r="Y19" s="5">
        <f t="shared" si="12"/>
        <v>7.58</v>
      </c>
      <c r="Z19" s="5">
        <f t="shared" si="13"/>
        <v>4.12</v>
      </c>
      <c r="AA19" s="5">
        <f t="shared" si="14"/>
        <v>0.9</v>
      </c>
      <c r="AB19" s="5">
        <f t="shared" si="15"/>
        <v>0.3</v>
      </c>
      <c r="AD19" s="4"/>
      <c r="AE19" s="4"/>
    </row>
    <row r="20" spans="1:31" x14ac:dyDescent="0.55000000000000004">
      <c r="A20" t="s">
        <v>26</v>
      </c>
      <c r="B20" t="s">
        <v>19</v>
      </c>
      <c r="C20" t="s">
        <v>21</v>
      </c>
      <c r="D20">
        <v>56.45</v>
      </c>
      <c r="E20">
        <v>0.68</v>
      </c>
      <c r="F20">
        <v>19.13</v>
      </c>
      <c r="G20">
        <v>7.07</v>
      </c>
      <c r="H20">
        <v>0.15</v>
      </c>
      <c r="I20">
        <v>3.62</v>
      </c>
      <c r="J20">
        <v>7.58</v>
      </c>
      <c r="K20">
        <v>4.1399999999999997</v>
      </c>
      <c r="L20">
        <v>0.9</v>
      </c>
      <c r="M20">
        <v>0.28999999999999998</v>
      </c>
      <c r="R20" s="4">
        <f t="shared" si="1"/>
        <v>100.01000000000003</v>
      </c>
      <c r="S20" s="5">
        <f t="shared" si="2"/>
        <v>56.444355564443534</v>
      </c>
      <c r="T20" s="5">
        <f t="shared" si="7"/>
        <v>0.67993200679931987</v>
      </c>
      <c r="U20" s="5">
        <f t="shared" si="8"/>
        <v>19.128087191280866</v>
      </c>
      <c r="V20" s="5">
        <f t="shared" si="9"/>
        <v>7.069293070692928</v>
      </c>
      <c r="W20" s="5">
        <f t="shared" si="10"/>
        <v>0.14998500149984997</v>
      </c>
      <c r="X20" s="5">
        <f t="shared" si="11"/>
        <v>3.6196380361963794</v>
      </c>
      <c r="Y20" s="5">
        <f t="shared" si="12"/>
        <v>7.5792420757924184</v>
      </c>
      <c r="Z20" s="5">
        <f t="shared" si="13"/>
        <v>4.1395860413958587</v>
      </c>
      <c r="AA20" s="5">
        <f t="shared" si="14"/>
        <v>0.89991000899909979</v>
      </c>
      <c r="AB20" s="5">
        <f t="shared" si="15"/>
        <v>0.2899710028997099</v>
      </c>
      <c r="AD20" s="4"/>
      <c r="AE20" s="4"/>
    </row>
    <row r="21" spans="1:31" x14ac:dyDescent="0.55000000000000004">
      <c r="A21" t="s">
        <v>27</v>
      </c>
      <c r="B21" t="s">
        <v>19</v>
      </c>
      <c r="C21" t="s">
        <v>21</v>
      </c>
      <c r="D21">
        <v>56.5</v>
      </c>
      <c r="E21">
        <v>0.69</v>
      </c>
      <c r="F21">
        <v>19.05</v>
      </c>
      <c r="G21">
        <v>7.12</v>
      </c>
      <c r="H21">
        <v>0.15</v>
      </c>
      <c r="I21">
        <v>3.65</v>
      </c>
      <c r="J21">
        <v>7.6</v>
      </c>
      <c r="K21">
        <v>4.05</v>
      </c>
      <c r="L21">
        <v>0.91</v>
      </c>
      <c r="M21">
        <v>0.28000000000000003</v>
      </c>
      <c r="R21" s="4">
        <f t="shared" si="1"/>
        <v>100</v>
      </c>
      <c r="S21" s="5">
        <f t="shared" si="2"/>
        <v>56.5</v>
      </c>
      <c r="T21" s="5">
        <f t="shared" si="7"/>
        <v>0.69</v>
      </c>
      <c r="U21" s="5">
        <f t="shared" si="8"/>
        <v>19.05</v>
      </c>
      <c r="V21" s="5">
        <f t="shared" si="9"/>
        <v>7.12</v>
      </c>
      <c r="W21" s="5">
        <f t="shared" si="10"/>
        <v>0.15</v>
      </c>
      <c r="X21" s="5">
        <f t="shared" si="11"/>
        <v>3.65</v>
      </c>
      <c r="Y21" s="5">
        <f t="shared" si="12"/>
        <v>7.6</v>
      </c>
      <c r="Z21" s="5">
        <f t="shared" si="13"/>
        <v>4.05</v>
      </c>
      <c r="AA21" s="5">
        <f t="shared" si="14"/>
        <v>0.91</v>
      </c>
      <c r="AB21" s="5">
        <f t="shared" si="15"/>
        <v>0.28000000000000003</v>
      </c>
      <c r="AD21" s="4"/>
      <c r="AE21" s="4"/>
    </row>
    <row r="22" spans="1:31" x14ac:dyDescent="0.55000000000000004">
      <c r="A22" t="s">
        <v>28</v>
      </c>
      <c r="B22" t="s">
        <v>19</v>
      </c>
      <c r="C22" t="s">
        <v>21</v>
      </c>
      <c r="D22">
        <v>56.39</v>
      </c>
      <c r="E22">
        <v>0.69</v>
      </c>
      <c r="F22">
        <v>19.05</v>
      </c>
      <c r="G22">
        <v>7.1</v>
      </c>
      <c r="H22">
        <v>0.15</v>
      </c>
      <c r="I22">
        <v>3.7</v>
      </c>
      <c r="J22">
        <v>7.64</v>
      </c>
      <c r="K22">
        <v>4.09</v>
      </c>
      <c r="L22">
        <v>0.9</v>
      </c>
      <c r="M22">
        <v>0.28999999999999998</v>
      </c>
      <c r="R22" s="4">
        <f t="shared" si="1"/>
        <v>100.00000000000001</v>
      </c>
      <c r="S22" s="5">
        <f t="shared" si="2"/>
        <v>56.389999999999993</v>
      </c>
      <c r="T22" s="5">
        <f t="shared" si="7"/>
        <v>0.69</v>
      </c>
      <c r="U22" s="5">
        <f t="shared" si="8"/>
        <v>19.049999999999997</v>
      </c>
      <c r="V22" s="5">
        <f t="shared" si="9"/>
        <v>7.0999999999999988</v>
      </c>
      <c r="W22" s="5">
        <f t="shared" si="10"/>
        <v>0.14999999999999997</v>
      </c>
      <c r="X22" s="5">
        <f t="shared" si="11"/>
        <v>3.6999999999999993</v>
      </c>
      <c r="Y22" s="5">
        <f t="shared" si="12"/>
        <v>7.6399999999999988</v>
      </c>
      <c r="Z22" s="5">
        <f t="shared" si="13"/>
        <v>4.09</v>
      </c>
      <c r="AA22" s="5">
        <f t="shared" si="14"/>
        <v>0.89999999999999991</v>
      </c>
      <c r="AB22" s="5">
        <f t="shared" si="15"/>
        <v>0.28999999999999992</v>
      </c>
      <c r="AD22" s="4"/>
      <c r="AE22" s="4"/>
    </row>
    <row r="23" spans="1:31" x14ac:dyDescent="0.55000000000000004">
      <c r="A23" t="s">
        <v>29</v>
      </c>
      <c r="B23" t="s">
        <v>19</v>
      </c>
      <c r="C23" t="s">
        <v>21</v>
      </c>
      <c r="D23">
        <v>56.42</v>
      </c>
      <c r="E23">
        <v>0.7</v>
      </c>
      <c r="F23">
        <v>18.79</v>
      </c>
      <c r="G23">
        <v>7.4</v>
      </c>
      <c r="H23">
        <v>0.16</v>
      </c>
      <c r="I23">
        <v>3.59</v>
      </c>
      <c r="J23">
        <v>7.79</v>
      </c>
      <c r="K23">
        <v>3.95</v>
      </c>
      <c r="L23">
        <v>0.91</v>
      </c>
      <c r="M23">
        <v>0.28999999999999998</v>
      </c>
      <c r="R23" s="4">
        <f t="shared" si="1"/>
        <v>100.00000000000001</v>
      </c>
      <c r="S23" s="5">
        <f t="shared" si="2"/>
        <v>56.419999999999995</v>
      </c>
      <c r="T23" s="5">
        <f t="shared" si="7"/>
        <v>0.7</v>
      </c>
      <c r="U23" s="5">
        <f t="shared" si="8"/>
        <v>18.789999999999996</v>
      </c>
      <c r="V23" s="5">
        <f t="shared" si="9"/>
        <v>7.3999999999999986</v>
      </c>
      <c r="W23" s="5">
        <f t="shared" si="10"/>
        <v>0.15999999999999998</v>
      </c>
      <c r="X23" s="5">
        <f t="shared" si="11"/>
        <v>3.5899999999999994</v>
      </c>
      <c r="Y23" s="5">
        <f t="shared" si="12"/>
        <v>7.7899999999999991</v>
      </c>
      <c r="Z23" s="5">
        <f t="shared" si="13"/>
        <v>3.9499999999999993</v>
      </c>
      <c r="AA23" s="5">
        <f t="shared" si="14"/>
        <v>0.90999999999999992</v>
      </c>
      <c r="AB23" s="5">
        <f t="shared" si="15"/>
        <v>0.28999999999999992</v>
      </c>
      <c r="AD23" s="4"/>
      <c r="AE23" s="4"/>
    </row>
    <row r="24" spans="1:31" x14ac:dyDescent="0.55000000000000004">
      <c r="A24" t="s">
        <v>30</v>
      </c>
      <c r="B24" t="s">
        <v>19</v>
      </c>
      <c r="C24" t="s">
        <v>21</v>
      </c>
      <c r="D24">
        <v>56.87</v>
      </c>
      <c r="E24">
        <v>0.68</v>
      </c>
      <c r="F24">
        <v>18.95</v>
      </c>
      <c r="G24">
        <v>6.93</v>
      </c>
      <c r="H24">
        <v>0.15</v>
      </c>
      <c r="I24">
        <v>3.64</v>
      </c>
      <c r="J24">
        <v>7.57</v>
      </c>
      <c r="K24">
        <v>4.04</v>
      </c>
      <c r="L24">
        <v>0.9</v>
      </c>
      <c r="M24">
        <v>0.28000000000000003</v>
      </c>
      <c r="R24" s="4">
        <f t="shared" si="1"/>
        <v>100.01000000000003</v>
      </c>
      <c r="S24" s="5">
        <f t="shared" si="2"/>
        <v>56.864313568643119</v>
      </c>
      <c r="T24" s="5">
        <f t="shared" si="7"/>
        <v>0.67993200679931987</v>
      </c>
      <c r="U24" s="5">
        <f t="shared" si="8"/>
        <v>18.948105189481044</v>
      </c>
      <c r="V24" s="5">
        <f t="shared" si="9"/>
        <v>6.9293070692930687</v>
      </c>
      <c r="W24" s="5">
        <f t="shared" si="10"/>
        <v>0.14998500149984997</v>
      </c>
      <c r="X24" s="5">
        <f t="shared" si="11"/>
        <v>3.6396360363963591</v>
      </c>
      <c r="Y24" s="5">
        <f t="shared" si="12"/>
        <v>7.5692430756924285</v>
      </c>
      <c r="Z24" s="5">
        <f t="shared" si="13"/>
        <v>4.039596040395959</v>
      </c>
      <c r="AA24" s="5">
        <f t="shared" si="14"/>
        <v>0.89991000899909979</v>
      </c>
      <c r="AB24" s="5">
        <f t="shared" si="15"/>
        <v>0.27997200279971995</v>
      </c>
      <c r="AD24" s="4"/>
      <c r="AE24" s="4"/>
    </row>
    <row r="25" spans="1:31" x14ac:dyDescent="0.55000000000000004">
      <c r="A25" t="s">
        <v>31</v>
      </c>
      <c r="B25" t="s">
        <v>19</v>
      </c>
      <c r="C25" t="s">
        <v>21</v>
      </c>
      <c r="D25">
        <v>56.44</v>
      </c>
      <c r="E25">
        <v>0.68</v>
      </c>
      <c r="F25">
        <v>19.190000000000001</v>
      </c>
      <c r="G25">
        <v>6.93</v>
      </c>
      <c r="H25">
        <v>0.15</v>
      </c>
      <c r="I25">
        <v>3.69</v>
      </c>
      <c r="J25">
        <v>7.63</v>
      </c>
      <c r="K25">
        <v>4.08</v>
      </c>
      <c r="L25">
        <v>0.91</v>
      </c>
      <c r="R25" s="4">
        <f t="shared" si="1"/>
        <v>99.7</v>
      </c>
      <c r="S25" s="5">
        <f t="shared" si="2"/>
        <v>56.609829488465394</v>
      </c>
      <c r="T25" s="5">
        <f t="shared" si="7"/>
        <v>0.68204613841524575</v>
      </c>
      <c r="U25" s="5">
        <f t="shared" si="8"/>
        <v>19.247743229689068</v>
      </c>
      <c r="V25" s="5">
        <f t="shared" si="9"/>
        <v>6.9508525576730191</v>
      </c>
      <c r="W25" s="5">
        <f t="shared" si="10"/>
        <v>0.15045135406218654</v>
      </c>
      <c r="X25" s="5">
        <f t="shared" si="11"/>
        <v>3.7011033099297892</v>
      </c>
      <c r="Y25" s="5">
        <f t="shared" si="12"/>
        <v>7.6529588766298895</v>
      </c>
      <c r="Z25" s="5">
        <f t="shared" si="13"/>
        <v>4.0922768304914747</v>
      </c>
      <c r="AA25" s="5">
        <f t="shared" si="14"/>
        <v>0.91273821464393179</v>
      </c>
      <c r="AB25" s="5">
        <f t="shared" si="15"/>
        <v>0</v>
      </c>
      <c r="AD25" s="4"/>
      <c r="AE25" s="4"/>
    </row>
    <row r="26" spans="1:31" x14ac:dyDescent="0.55000000000000004">
      <c r="A26" t="s">
        <v>32</v>
      </c>
      <c r="B26" t="s">
        <v>19</v>
      </c>
      <c r="C26" t="s">
        <v>21</v>
      </c>
      <c r="D26">
        <v>56.96</v>
      </c>
      <c r="E26">
        <v>0.67</v>
      </c>
      <c r="F26">
        <v>18.97</v>
      </c>
      <c r="G26">
        <v>6.93</v>
      </c>
      <c r="H26">
        <v>0.15</v>
      </c>
      <c r="I26">
        <v>3.6</v>
      </c>
      <c r="J26">
        <v>7.49</v>
      </c>
      <c r="K26">
        <v>4.03</v>
      </c>
      <c r="L26">
        <v>0.93</v>
      </c>
      <c r="M26">
        <v>0.28000000000000003</v>
      </c>
      <c r="R26" s="4">
        <f t="shared" si="1"/>
        <v>100.01</v>
      </c>
      <c r="S26" s="5">
        <f t="shared" si="2"/>
        <v>56.954304569543041</v>
      </c>
      <c r="T26" s="5">
        <f t="shared" si="7"/>
        <v>0.66993300669932998</v>
      </c>
      <c r="U26" s="5">
        <f t="shared" si="8"/>
        <v>18.968103189681031</v>
      </c>
      <c r="V26" s="5">
        <f t="shared" si="9"/>
        <v>6.9293070692930705</v>
      </c>
      <c r="W26" s="5">
        <f t="shared" si="10"/>
        <v>0.14998500149985</v>
      </c>
      <c r="X26" s="5">
        <f t="shared" si="11"/>
        <v>3.5996400359964</v>
      </c>
      <c r="Y26" s="5">
        <f t="shared" si="12"/>
        <v>7.4892510748925103</v>
      </c>
      <c r="Z26" s="5">
        <f t="shared" si="13"/>
        <v>4.02959704029597</v>
      </c>
      <c r="AA26" s="5">
        <f t="shared" si="14"/>
        <v>0.92990700929907</v>
      </c>
      <c r="AB26" s="5">
        <f t="shared" si="15"/>
        <v>0.27997200279972007</v>
      </c>
      <c r="AD26" s="4"/>
      <c r="AE26" s="4"/>
    </row>
    <row r="27" spans="1:31" x14ac:dyDescent="0.55000000000000004">
      <c r="A27" t="s">
        <v>33</v>
      </c>
      <c r="B27" t="s">
        <v>20</v>
      </c>
      <c r="C27" t="s">
        <v>21</v>
      </c>
      <c r="D27">
        <v>56.86</v>
      </c>
      <c r="E27">
        <v>0.7</v>
      </c>
      <c r="F27">
        <v>18.989999999999998</v>
      </c>
      <c r="G27">
        <v>6.93</v>
      </c>
      <c r="H27">
        <v>0.15</v>
      </c>
      <c r="I27">
        <v>3.77</v>
      </c>
      <c r="J27">
        <v>7.51</v>
      </c>
      <c r="K27">
        <v>3.89</v>
      </c>
      <c r="L27">
        <v>0.92</v>
      </c>
      <c r="M27">
        <v>0.28000000000000003</v>
      </c>
      <c r="R27" s="4">
        <f t="shared" si="1"/>
        <v>100</v>
      </c>
      <c r="S27" s="5">
        <f t="shared" si="2"/>
        <v>56.86</v>
      </c>
      <c r="T27" s="5">
        <f t="shared" si="7"/>
        <v>0.7</v>
      </c>
      <c r="U27" s="5">
        <f t="shared" si="8"/>
        <v>18.989999999999998</v>
      </c>
      <c r="V27" s="5">
        <f t="shared" si="9"/>
        <v>6.93</v>
      </c>
      <c r="W27" s="5">
        <f t="shared" si="10"/>
        <v>0.15</v>
      </c>
      <c r="X27" s="5">
        <f t="shared" si="11"/>
        <v>3.77</v>
      </c>
      <c r="Y27" s="5">
        <f t="shared" si="12"/>
        <v>7.51</v>
      </c>
      <c r="Z27" s="5">
        <f t="shared" si="13"/>
        <v>3.89</v>
      </c>
      <c r="AA27" s="5">
        <f t="shared" si="14"/>
        <v>0.92</v>
      </c>
      <c r="AB27" s="5">
        <f t="shared" si="15"/>
        <v>0.28000000000000003</v>
      </c>
      <c r="AD27" s="4"/>
      <c r="AE27" s="4"/>
    </row>
    <row r="28" spans="1:31" x14ac:dyDescent="0.55000000000000004">
      <c r="A28" t="s">
        <v>34</v>
      </c>
      <c r="B28" t="s">
        <v>20</v>
      </c>
      <c r="C28" t="s">
        <v>21</v>
      </c>
      <c r="D28">
        <v>56.62</v>
      </c>
      <c r="E28">
        <v>0.68</v>
      </c>
      <c r="F28">
        <v>19.170000000000002</v>
      </c>
      <c r="G28">
        <v>7.02</v>
      </c>
      <c r="H28">
        <v>0.15</v>
      </c>
      <c r="I28">
        <v>3.66</v>
      </c>
      <c r="J28">
        <v>7.58</v>
      </c>
      <c r="K28">
        <v>3.94</v>
      </c>
      <c r="L28">
        <v>0.89</v>
      </c>
      <c r="M28">
        <v>0.3</v>
      </c>
      <c r="R28" s="4">
        <f t="shared" si="1"/>
        <v>100.00999999999999</v>
      </c>
      <c r="S28" s="5">
        <f t="shared" si="2"/>
        <v>56.614338566143388</v>
      </c>
      <c r="T28" s="5">
        <f t="shared" si="7"/>
        <v>0.67993200679932009</v>
      </c>
      <c r="U28" s="5">
        <f t="shared" si="8"/>
        <v>19.168083191680836</v>
      </c>
      <c r="V28" s="5">
        <f t="shared" si="9"/>
        <v>7.0192980701929812</v>
      </c>
      <c r="W28" s="5">
        <f t="shared" si="10"/>
        <v>0.14998500149985003</v>
      </c>
      <c r="X28" s="5">
        <f t="shared" si="11"/>
        <v>3.6596340365963407</v>
      </c>
      <c r="Y28" s="5">
        <f t="shared" si="12"/>
        <v>7.579242075792421</v>
      </c>
      <c r="Z28" s="5">
        <f t="shared" si="13"/>
        <v>3.9396060393960606</v>
      </c>
      <c r="AA28" s="5">
        <f t="shared" si="14"/>
        <v>0.88991100889911012</v>
      </c>
      <c r="AB28" s="5">
        <f t="shared" si="15"/>
        <v>0.29997000299970006</v>
      </c>
      <c r="AD28" s="4"/>
      <c r="AE28" s="4"/>
    </row>
    <row r="29" spans="1:31" x14ac:dyDescent="0.55000000000000004">
      <c r="A29" t="s">
        <v>35</v>
      </c>
      <c r="B29" t="s">
        <v>20</v>
      </c>
      <c r="C29" t="s">
        <v>21</v>
      </c>
      <c r="D29">
        <v>57.05</v>
      </c>
      <c r="E29">
        <v>0.7</v>
      </c>
      <c r="F29">
        <v>19.12</v>
      </c>
      <c r="G29">
        <v>6.59</v>
      </c>
      <c r="H29">
        <v>0.15</v>
      </c>
      <c r="I29">
        <v>3.72</v>
      </c>
      <c r="J29">
        <v>7.55</v>
      </c>
      <c r="K29">
        <v>3.92</v>
      </c>
      <c r="L29">
        <v>0.94</v>
      </c>
      <c r="R29" s="4">
        <f t="shared" si="1"/>
        <v>99.740000000000009</v>
      </c>
      <c r="S29" s="5">
        <f t="shared" si="2"/>
        <v>57.198716663324639</v>
      </c>
      <c r="T29" s="5">
        <f t="shared" si="7"/>
        <v>0.70182474433527164</v>
      </c>
      <c r="U29" s="5">
        <f t="shared" si="8"/>
        <v>19.169841588129135</v>
      </c>
      <c r="V29" s="5">
        <f t="shared" si="9"/>
        <v>6.6071786645277717</v>
      </c>
      <c r="W29" s="5">
        <f t="shared" si="10"/>
        <v>0.15039101664327251</v>
      </c>
      <c r="X29" s="5">
        <f t="shared" si="11"/>
        <v>3.729697212753158</v>
      </c>
      <c r="Y29" s="5">
        <f t="shared" si="12"/>
        <v>7.5696811710447154</v>
      </c>
      <c r="Z29" s="5">
        <f t="shared" si="13"/>
        <v>3.930218568277521</v>
      </c>
      <c r="AA29" s="5">
        <f t="shared" si="14"/>
        <v>0.94245037096450768</v>
      </c>
      <c r="AB29" s="5">
        <f t="shared" si="15"/>
        <v>0</v>
      </c>
      <c r="AD29" s="4"/>
      <c r="AE29" s="4"/>
    </row>
    <row r="30" spans="1:31" x14ac:dyDescent="0.55000000000000004">
      <c r="A30" t="s">
        <v>36</v>
      </c>
      <c r="B30" t="s">
        <v>20</v>
      </c>
      <c r="C30" t="s">
        <v>21</v>
      </c>
      <c r="D30">
        <v>56.54</v>
      </c>
      <c r="E30">
        <v>0.7</v>
      </c>
      <c r="F30">
        <v>18.87</v>
      </c>
      <c r="G30">
        <v>7.23</v>
      </c>
      <c r="H30">
        <v>0.16</v>
      </c>
      <c r="I30">
        <v>3.81</v>
      </c>
      <c r="J30">
        <v>7.52</v>
      </c>
      <c r="K30">
        <v>3.95</v>
      </c>
      <c r="L30">
        <v>0.94</v>
      </c>
      <c r="R30" s="4">
        <f t="shared" si="1"/>
        <v>99.72</v>
      </c>
      <c r="S30" s="5">
        <f t="shared" si="2"/>
        <v>56.698756518251102</v>
      </c>
      <c r="T30" s="5">
        <f t="shared" si="7"/>
        <v>0.70196550340954678</v>
      </c>
      <c r="U30" s="5">
        <f t="shared" si="8"/>
        <v>18.922984356197354</v>
      </c>
      <c r="V30" s="5">
        <f t="shared" si="9"/>
        <v>7.2503008423586044</v>
      </c>
      <c r="W30" s="5">
        <f t="shared" si="10"/>
        <v>0.16044925792218212</v>
      </c>
      <c r="X30" s="5">
        <f t="shared" si="11"/>
        <v>3.8206979542719615</v>
      </c>
      <c r="Y30" s="5">
        <f t="shared" si="12"/>
        <v>7.5411151223425597</v>
      </c>
      <c r="Z30" s="5">
        <f t="shared" si="13"/>
        <v>3.9610910549538709</v>
      </c>
      <c r="AA30" s="5">
        <f t="shared" si="14"/>
        <v>0.94263939029281996</v>
      </c>
      <c r="AB30" s="5">
        <f t="shared" si="15"/>
        <v>0</v>
      </c>
      <c r="AD30" s="4"/>
      <c r="AE30" s="4"/>
    </row>
    <row r="31" spans="1:31" x14ac:dyDescent="0.55000000000000004">
      <c r="A31" t="s">
        <v>37</v>
      </c>
      <c r="B31" t="s">
        <v>20</v>
      </c>
      <c r="C31" t="s">
        <v>21</v>
      </c>
      <c r="D31">
        <v>56.55</v>
      </c>
      <c r="E31">
        <v>0.69</v>
      </c>
      <c r="F31">
        <v>18.98</v>
      </c>
      <c r="G31">
        <v>7.13</v>
      </c>
      <c r="H31">
        <v>0.15</v>
      </c>
      <c r="I31">
        <v>3.69</v>
      </c>
      <c r="J31">
        <v>7.56</v>
      </c>
      <c r="K31">
        <v>4.05</v>
      </c>
      <c r="L31">
        <v>0.92</v>
      </c>
      <c r="M31">
        <v>0.28000000000000003</v>
      </c>
      <c r="R31" s="4">
        <f t="shared" si="1"/>
        <v>100</v>
      </c>
      <c r="S31" s="5">
        <f t="shared" si="2"/>
        <v>56.55</v>
      </c>
      <c r="T31" s="5">
        <f t="shared" si="7"/>
        <v>0.69</v>
      </c>
      <c r="U31" s="5">
        <f t="shared" si="8"/>
        <v>18.98</v>
      </c>
      <c r="V31" s="5">
        <f t="shared" si="9"/>
        <v>7.13</v>
      </c>
      <c r="W31" s="5">
        <f t="shared" si="10"/>
        <v>0.15</v>
      </c>
      <c r="X31" s="5">
        <f t="shared" si="11"/>
        <v>3.69</v>
      </c>
      <c r="Y31" s="5">
        <f t="shared" si="12"/>
        <v>7.56</v>
      </c>
      <c r="Z31" s="5">
        <f t="shared" si="13"/>
        <v>4.05</v>
      </c>
      <c r="AA31" s="5">
        <f t="shared" si="14"/>
        <v>0.92</v>
      </c>
      <c r="AB31" s="5">
        <f t="shared" si="15"/>
        <v>0.28000000000000003</v>
      </c>
      <c r="AD31" s="4"/>
      <c r="AE31" s="4"/>
    </row>
    <row r="32" spans="1:31" x14ac:dyDescent="0.55000000000000004">
      <c r="A32" t="s">
        <v>38</v>
      </c>
      <c r="B32" t="s">
        <v>20</v>
      </c>
      <c r="C32" t="s">
        <v>21</v>
      </c>
      <c r="D32">
        <v>57.19</v>
      </c>
      <c r="E32">
        <v>0.68</v>
      </c>
      <c r="F32">
        <v>18.989999999999998</v>
      </c>
      <c r="G32">
        <v>6.78</v>
      </c>
      <c r="H32">
        <v>0.15</v>
      </c>
      <c r="I32">
        <v>3.59</v>
      </c>
      <c r="J32">
        <v>7.43</v>
      </c>
      <c r="K32">
        <v>3.97</v>
      </c>
      <c r="L32">
        <v>0.94</v>
      </c>
      <c r="M32">
        <v>0.28000000000000003</v>
      </c>
      <c r="R32" s="4">
        <f t="shared" si="1"/>
        <v>100</v>
      </c>
      <c r="S32" s="5">
        <f t="shared" si="2"/>
        <v>57.19</v>
      </c>
      <c r="T32" s="5">
        <f t="shared" si="7"/>
        <v>0.68</v>
      </c>
      <c r="U32" s="5">
        <f t="shared" si="8"/>
        <v>18.989999999999998</v>
      </c>
      <c r="V32" s="5">
        <f t="shared" si="9"/>
        <v>6.78</v>
      </c>
      <c r="W32" s="5">
        <f t="shared" si="10"/>
        <v>0.15</v>
      </c>
      <c r="X32" s="5">
        <f t="shared" si="11"/>
        <v>3.59</v>
      </c>
      <c r="Y32" s="5">
        <f t="shared" si="12"/>
        <v>7.43</v>
      </c>
      <c r="Z32" s="5">
        <f t="shared" si="13"/>
        <v>3.97</v>
      </c>
      <c r="AA32" s="5">
        <f t="shared" si="14"/>
        <v>0.94</v>
      </c>
      <c r="AB32" s="5">
        <f t="shared" si="15"/>
        <v>0.28000000000000003</v>
      </c>
      <c r="AD32" s="4"/>
      <c r="AE32" s="4"/>
    </row>
    <row r="33" spans="1:44" x14ac:dyDescent="0.55000000000000004">
      <c r="A33" t="s">
        <v>39</v>
      </c>
      <c r="B33" t="s">
        <v>20</v>
      </c>
      <c r="C33" t="s">
        <v>21</v>
      </c>
      <c r="D33">
        <v>57.85</v>
      </c>
      <c r="E33">
        <v>0.69</v>
      </c>
      <c r="F33">
        <v>19.13</v>
      </c>
      <c r="G33">
        <v>5.93</v>
      </c>
      <c r="H33">
        <v>0.15</v>
      </c>
      <c r="I33">
        <v>3.65</v>
      </c>
      <c r="J33">
        <v>7.44</v>
      </c>
      <c r="K33">
        <v>3.95</v>
      </c>
      <c r="L33">
        <v>0.97</v>
      </c>
      <c r="M33">
        <v>0.24</v>
      </c>
      <c r="R33" s="4">
        <f t="shared" si="1"/>
        <v>100</v>
      </c>
      <c r="S33" s="5">
        <f t="shared" si="2"/>
        <v>57.85</v>
      </c>
      <c r="T33" s="5">
        <f t="shared" si="7"/>
        <v>0.69</v>
      </c>
      <c r="U33" s="5">
        <f t="shared" si="8"/>
        <v>19.13</v>
      </c>
      <c r="V33" s="5">
        <f t="shared" si="9"/>
        <v>5.93</v>
      </c>
      <c r="W33" s="5">
        <f t="shared" si="10"/>
        <v>0.15</v>
      </c>
      <c r="X33" s="5">
        <f t="shared" si="11"/>
        <v>3.65</v>
      </c>
      <c r="Y33" s="5">
        <f t="shared" si="12"/>
        <v>7.44</v>
      </c>
      <c r="Z33" s="5">
        <f t="shared" si="13"/>
        <v>3.95</v>
      </c>
      <c r="AA33" s="5">
        <f t="shared" si="14"/>
        <v>0.97</v>
      </c>
      <c r="AB33" s="5">
        <f t="shared" si="15"/>
        <v>0.24</v>
      </c>
      <c r="AD33" s="4"/>
      <c r="AE33" s="4"/>
    </row>
    <row r="34" spans="1:44" x14ac:dyDescent="0.55000000000000004">
      <c r="A34" t="s">
        <v>64</v>
      </c>
      <c r="B34" t="s">
        <v>17</v>
      </c>
      <c r="C34" t="s">
        <v>66</v>
      </c>
      <c r="D34">
        <v>60.39</v>
      </c>
      <c r="E34">
        <v>0.67</v>
      </c>
      <c r="F34">
        <v>16.239999999999998</v>
      </c>
      <c r="G34">
        <f>6.92*2*(55.85+16)/(55.85*2+16*3)</f>
        <v>6.2267000626174074</v>
      </c>
      <c r="I34">
        <v>2.14</v>
      </c>
      <c r="J34">
        <v>5.61</v>
      </c>
      <c r="K34">
        <v>4.38</v>
      </c>
      <c r="L34">
        <v>0.67</v>
      </c>
      <c r="O34">
        <v>0.12</v>
      </c>
      <c r="R34" s="4">
        <f t="shared" si="1"/>
        <v>96.326700062617405</v>
      </c>
      <c r="S34" s="5">
        <f t="shared" si="2"/>
        <v>62.692898189954946</v>
      </c>
      <c r="T34" s="5">
        <f t="shared" si="7"/>
        <v>0.69554962389915242</v>
      </c>
      <c r="U34" s="5">
        <f t="shared" si="8"/>
        <v>16.859292376301841</v>
      </c>
      <c r="V34" s="5">
        <f t="shared" si="9"/>
        <v>6.4641475920692031</v>
      </c>
      <c r="X34" s="5">
        <f t="shared" si="11"/>
        <v>2.2216062614092333</v>
      </c>
      <c r="Y34" s="5">
        <f t="shared" si="12"/>
        <v>5.8239304329466348</v>
      </c>
      <c r="Z34" s="5">
        <f t="shared" si="13"/>
        <v>4.5470258995198325</v>
      </c>
      <c r="AA34" s="5">
        <f t="shared" si="14"/>
        <v>0.69554962389915242</v>
      </c>
      <c r="AB34" s="5">
        <f t="shared" si="15"/>
        <v>0</v>
      </c>
      <c r="AD34" s="5">
        <f t="shared" ref="AD34:AD42" si="17">O34</f>
        <v>0.12</v>
      </c>
      <c r="AE34" s="5"/>
      <c r="AG34">
        <v>1.63</v>
      </c>
      <c r="AH34">
        <v>0.12</v>
      </c>
      <c r="AI34">
        <v>0.6</v>
      </c>
      <c r="AJ34">
        <f>0.69*2*(55.85+16)/(55.85*2+16*3)</f>
        <v>0.6208703819661866</v>
      </c>
      <c r="AL34">
        <v>0.43</v>
      </c>
      <c r="AM34">
        <v>0.31</v>
      </c>
      <c r="AN34">
        <v>0.17</v>
      </c>
      <c r="AO34">
        <v>0.12</v>
      </c>
      <c r="AR34">
        <v>0.04</v>
      </c>
    </row>
    <row r="35" spans="1:44" x14ac:dyDescent="0.55000000000000004">
      <c r="A35" t="s">
        <v>65</v>
      </c>
      <c r="B35" t="s">
        <v>17</v>
      </c>
      <c r="C35" t="s">
        <v>66</v>
      </c>
      <c r="D35">
        <v>61.34</v>
      </c>
      <c r="E35">
        <v>0.67</v>
      </c>
      <c r="F35">
        <v>16.239999999999998</v>
      </c>
      <c r="G35">
        <f>7.64*2*(55.85+16)/(55.85*2+16*3)</f>
        <v>6.8745648090169071</v>
      </c>
      <c r="I35">
        <v>2.33</v>
      </c>
      <c r="J35">
        <v>5.73</v>
      </c>
      <c r="K35">
        <v>4.91</v>
      </c>
      <c r="L35">
        <v>0.66</v>
      </c>
      <c r="O35">
        <v>0.21</v>
      </c>
      <c r="R35" s="4">
        <f t="shared" si="1"/>
        <v>98.754564809016898</v>
      </c>
      <c r="S35" s="5">
        <f t="shared" si="2"/>
        <v>62.113584438984113</v>
      </c>
      <c r="T35" s="5">
        <f t="shared" si="7"/>
        <v>0.6784496507029566</v>
      </c>
      <c r="U35" s="5">
        <f t="shared" si="8"/>
        <v>16.444809443904497</v>
      </c>
      <c r="V35" s="5">
        <f t="shared" si="9"/>
        <v>6.9612628259885936</v>
      </c>
      <c r="X35" s="5">
        <f t="shared" si="11"/>
        <v>2.3593846061759534</v>
      </c>
      <c r="Y35" s="5">
        <f t="shared" si="12"/>
        <v>5.8022634306387184</v>
      </c>
      <c r="Z35" s="5">
        <f t="shared" si="13"/>
        <v>4.9719220670918158</v>
      </c>
      <c r="AA35" s="5">
        <f t="shared" si="14"/>
        <v>0.66832353651336018</v>
      </c>
      <c r="AB35" s="5">
        <f t="shared" si="15"/>
        <v>0</v>
      </c>
      <c r="AD35" s="5">
        <f t="shared" si="17"/>
        <v>0.21</v>
      </c>
      <c r="AE35" s="5"/>
      <c r="AG35">
        <v>0.81</v>
      </c>
      <c r="AH35">
        <v>0.18</v>
      </c>
      <c r="AI35">
        <v>0.71</v>
      </c>
      <c r="AJ35">
        <f>0.63*2*(55.85+16)/(55.85*2+16*3)</f>
        <v>0.56688165309956162</v>
      </c>
      <c r="AL35">
        <v>0.67</v>
      </c>
      <c r="AM35">
        <v>0.33</v>
      </c>
      <c r="AN35">
        <v>0.25</v>
      </c>
      <c r="AO35">
        <v>0.18</v>
      </c>
      <c r="AR35">
        <v>0.04</v>
      </c>
    </row>
    <row r="36" spans="1:44" x14ac:dyDescent="0.55000000000000004">
      <c r="A36" t="s">
        <v>70</v>
      </c>
      <c r="B36" t="s">
        <v>19</v>
      </c>
      <c r="C36" t="s">
        <v>66</v>
      </c>
      <c r="D36">
        <v>60.98</v>
      </c>
      <c r="E36">
        <v>0.65</v>
      </c>
      <c r="F36">
        <v>15.44</v>
      </c>
      <c r="G36">
        <f>7.34*2*(55.85+16)/(55.85*2+16*3)</f>
        <v>6.6046211646837811</v>
      </c>
      <c r="I36">
        <v>2.8</v>
      </c>
      <c r="J36">
        <v>5.34</v>
      </c>
      <c r="K36">
        <v>4.54</v>
      </c>
      <c r="L36">
        <v>0.66</v>
      </c>
      <c r="O36">
        <v>0.16</v>
      </c>
      <c r="R36" s="4">
        <f t="shared" si="1"/>
        <v>97.014621164683774</v>
      </c>
      <c r="S36" s="5">
        <f t="shared" si="2"/>
        <v>62.856504790639278</v>
      </c>
      <c r="T36" s="5">
        <f t="shared" si="7"/>
        <v>0.67000210091694867</v>
      </c>
      <c r="U36" s="5">
        <f t="shared" si="8"/>
        <v>15.915126827934904</v>
      </c>
      <c r="V36" s="5">
        <f t="shared" si="9"/>
        <v>6.8078616247671961</v>
      </c>
      <c r="X36" s="5">
        <f t="shared" si="11"/>
        <v>2.8861628962576251</v>
      </c>
      <c r="Y36" s="5">
        <f t="shared" si="12"/>
        <v>5.5043249521484707</v>
      </c>
      <c r="Z36" s="5">
        <f t="shared" si="13"/>
        <v>4.679706981789149</v>
      </c>
      <c r="AA36" s="5">
        <f t="shared" si="14"/>
        <v>0.68030982554644015</v>
      </c>
      <c r="AB36" s="5">
        <f t="shared" si="15"/>
        <v>0</v>
      </c>
      <c r="AD36" s="5">
        <f t="shared" si="17"/>
        <v>0.16</v>
      </c>
      <c r="AE36" s="5"/>
      <c r="AG36">
        <v>0.89</v>
      </c>
      <c r="AH36">
        <v>7.0000000000000007E-2</v>
      </c>
      <c r="AI36">
        <v>0.41</v>
      </c>
      <c r="AJ36">
        <f>1.2*2*(55.85+16)/(55.85*2+16*3)</f>
        <v>1.0797745773324983</v>
      </c>
      <c r="AL36">
        <v>0.32</v>
      </c>
      <c r="AM36">
        <v>0.35</v>
      </c>
      <c r="AN36">
        <v>0.19</v>
      </c>
      <c r="AO36">
        <v>7.0000000000000007E-2</v>
      </c>
      <c r="AR36">
        <v>0.04</v>
      </c>
    </row>
    <row r="37" spans="1:44" x14ac:dyDescent="0.55000000000000004">
      <c r="A37" t="s">
        <v>67</v>
      </c>
      <c r="B37" t="s">
        <v>19</v>
      </c>
      <c r="C37" t="s">
        <v>66</v>
      </c>
      <c r="D37">
        <v>65.239999999999995</v>
      </c>
      <c r="E37">
        <v>0.48</v>
      </c>
      <c r="F37">
        <v>15.76</v>
      </c>
      <c r="G37">
        <f>5.24*2*(55.85+16)/(55.85*2+16*3)</f>
        <v>4.7150156543519097</v>
      </c>
      <c r="I37">
        <v>1.21</v>
      </c>
      <c r="J37">
        <v>4.3499999999999996</v>
      </c>
      <c r="K37">
        <v>4.75</v>
      </c>
      <c r="L37">
        <v>1.8</v>
      </c>
      <c r="O37">
        <v>0.21</v>
      </c>
      <c r="R37" s="4">
        <f t="shared" si="1"/>
        <v>98.305015654351905</v>
      </c>
      <c r="S37" s="5">
        <f t="shared" si="2"/>
        <v>66.364874229193873</v>
      </c>
      <c r="T37" s="5">
        <f t="shared" si="7"/>
        <v>0.48827620524238297</v>
      </c>
      <c r="U37" s="5">
        <f t="shared" si="8"/>
        <v>16.031735405458239</v>
      </c>
      <c r="V37" s="5">
        <f t="shared" si="9"/>
        <v>4.7963123986778786</v>
      </c>
      <c r="X37" s="5">
        <f t="shared" si="11"/>
        <v>1.2308629340485071</v>
      </c>
      <c r="Y37" s="5">
        <f t="shared" si="12"/>
        <v>4.4250031100090945</v>
      </c>
      <c r="Z37" s="5">
        <f t="shared" si="13"/>
        <v>4.8318999477110811</v>
      </c>
      <c r="AA37" s="5">
        <f t="shared" si="14"/>
        <v>1.8310357696589361</v>
      </c>
      <c r="AB37" s="5">
        <f t="shared" si="15"/>
        <v>0</v>
      </c>
      <c r="AD37" s="5">
        <f t="shared" si="17"/>
        <v>0.21</v>
      </c>
      <c r="AE37" s="5"/>
      <c r="AG37">
        <v>2.04</v>
      </c>
      <c r="AH37">
        <v>0.15</v>
      </c>
      <c r="AI37">
        <v>1.53</v>
      </c>
      <c r="AJ37">
        <f>1.03*2*(55.85+16)/(55.85*2+16*3)</f>
        <v>0.92680651221039456</v>
      </c>
      <c r="AL37">
        <v>0.7</v>
      </c>
      <c r="AM37">
        <v>0.92</v>
      </c>
      <c r="AN37">
        <v>0.37</v>
      </c>
      <c r="AO37">
        <v>0.23</v>
      </c>
      <c r="AR37">
        <v>0.04</v>
      </c>
    </row>
    <row r="38" spans="1:44" x14ac:dyDescent="0.55000000000000004">
      <c r="A38" t="s">
        <v>68</v>
      </c>
      <c r="B38" t="s">
        <v>19</v>
      </c>
      <c r="C38" t="s">
        <v>66</v>
      </c>
      <c r="D38">
        <v>74.28</v>
      </c>
      <c r="E38">
        <v>0.39</v>
      </c>
      <c r="F38">
        <v>12.21</v>
      </c>
      <c r="G38">
        <f>2.68*2*(55.85+16)/(55.85*2+16*3)</f>
        <v>2.4114965560425801</v>
      </c>
      <c r="I38">
        <v>0.39</v>
      </c>
      <c r="J38">
        <v>1.36</v>
      </c>
      <c r="K38">
        <v>3.72</v>
      </c>
      <c r="L38">
        <v>2.96</v>
      </c>
      <c r="O38">
        <v>0.33</v>
      </c>
      <c r="R38" s="4">
        <f t="shared" si="1"/>
        <v>97.721496556042567</v>
      </c>
      <c r="S38" s="5">
        <f t="shared" si="2"/>
        <v>76.011934546459756</v>
      </c>
      <c r="T38" s="5">
        <f t="shared" si="7"/>
        <v>0.39909335585782585</v>
      </c>
      <c r="U38" s="5">
        <f t="shared" si="8"/>
        <v>12.494691987241163</v>
      </c>
      <c r="V38" s="5">
        <f t="shared" si="9"/>
        <v>2.4677237261298024</v>
      </c>
      <c r="X38" s="5">
        <f t="shared" si="11"/>
        <v>0.39909335585782585</v>
      </c>
      <c r="Y38" s="5">
        <f t="shared" si="12"/>
        <v>1.3917101640170337</v>
      </c>
      <c r="Z38" s="5">
        <f t="shared" si="13"/>
        <v>3.8067366251054158</v>
      </c>
      <c r="AA38" s="5">
        <f t="shared" si="14"/>
        <v>3.0290162393311912</v>
      </c>
      <c r="AB38" s="5">
        <f t="shared" si="15"/>
        <v>0</v>
      </c>
      <c r="AD38" s="5">
        <f t="shared" si="17"/>
        <v>0.33</v>
      </c>
      <c r="AE38" s="5"/>
      <c r="AG38">
        <v>0.54</v>
      </c>
      <c r="AH38">
        <v>0.16</v>
      </c>
      <c r="AI38">
        <v>0.14000000000000001</v>
      </c>
      <c r="AJ38">
        <f>0.21*2*(55.85+16)/(55.85*2+16*3)</f>
        <v>0.18896055103318721</v>
      </c>
      <c r="AL38">
        <v>0.03</v>
      </c>
      <c r="AM38">
        <v>0.19</v>
      </c>
      <c r="AN38">
        <v>0.15</v>
      </c>
      <c r="AO38">
        <v>0.08</v>
      </c>
      <c r="AR38">
        <v>0.04</v>
      </c>
    </row>
    <row r="39" spans="1:44" x14ac:dyDescent="0.55000000000000004">
      <c r="A39" t="s">
        <v>69</v>
      </c>
      <c r="B39" t="s">
        <v>20</v>
      </c>
      <c r="C39" t="s">
        <v>66</v>
      </c>
      <c r="D39">
        <v>61.65</v>
      </c>
      <c r="E39">
        <v>0.5</v>
      </c>
      <c r="F39">
        <v>16.2</v>
      </c>
      <c r="G39">
        <f>7.03*2*(55.85+16)/(55.85*2+16*3)</f>
        <v>6.3256793988728868</v>
      </c>
      <c r="I39">
        <v>2.2599999999999998</v>
      </c>
      <c r="J39">
        <v>5.09</v>
      </c>
      <c r="K39">
        <v>4.45</v>
      </c>
      <c r="L39">
        <v>0.5</v>
      </c>
      <c r="O39">
        <v>0.17</v>
      </c>
      <c r="R39" s="4">
        <f t="shared" si="1"/>
        <v>96.975679398872899</v>
      </c>
      <c r="S39" s="5">
        <f t="shared" si="2"/>
        <v>63.572640462178114</v>
      </c>
      <c r="T39" s="5">
        <f t="shared" si="7"/>
        <v>0.51559319109633506</v>
      </c>
      <c r="U39" s="5">
        <f t="shared" si="8"/>
        <v>16.705219391521258</v>
      </c>
      <c r="V39" s="5">
        <f t="shared" si="9"/>
        <v>6.5229544542344371</v>
      </c>
      <c r="X39" s="5">
        <f t="shared" si="11"/>
        <v>2.3304812237554344</v>
      </c>
      <c r="Y39" s="5">
        <f t="shared" si="12"/>
        <v>5.2487386853606912</v>
      </c>
      <c r="Z39" s="5">
        <f t="shared" si="13"/>
        <v>4.5887794007573826</v>
      </c>
      <c r="AA39" s="5">
        <f t="shared" si="14"/>
        <v>0.51559319109633506</v>
      </c>
      <c r="AB39" s="5">
        <f t="shared" si="15"/>
        <v>0</v>
      </c>
      <c r="AD39" s="5">
        <f t="shared" si="17"/>
        <v>0.17</v>
      </c>
      <c r="AE39" s="5"/>
      <c r="AG39">
        <v>0.8</v>
      </c>
      <c r="AH39">
        <v>7.0000000000000007E-2</v>
      </c>
      <c r="AI39">
        <v>0.41</v>
      </c>
      <c r="AJ39">
        <f>1.2*2*(55.85+16)/(55.85*2+16*3)</f>
        <v>1.0797745773324983</v>
      </c>
      <c r="AL39">
        <v>0.32</v>
      </c>
      <c r="AM39">
        <v>0.35</v>
      </c>
      <c r="AN39">
        <v>0.19</v>
      </c>
      <c r="AO39">
        <v>7.0000000000000007E-2</v>
      </c>
      <c r="AR39">
        <v>0.04</v>
      </c>
    </row>
    <row r="40" spans="1:44" x14ac:dyDescent="0.55000000000000004">
      <c r="A40" t="s">
        <v>71</v>
      </c>
      <c r="B40" t="s">
        <v>20</v>
      </c>
      <c r="C40" t="s">
        <v>66</v>
      </c>
      <c r="D40">
        <v>63.27</v>
      </c>
      <c r="E40">
        <v>0.56000000000000005</v>
      </c>
      <c r="F40">
        <v>15.86</v>
      </c>
      <c r="G40">
        <f>6.09*2*(55.85+16)/(55.85*2+16*3)</f>
        <v>5.4798559799624291</v>
      </c>
      <c r="I40">
        <v>1.75</v>
      </c>
      <c r="J40">
        <v>4.5</v>
      </c>
      <c r="K40">
        <v>4.5</v>
      </c>
      <c r="L40">
        <v>1.59</v>
      </c>
      <c r="O40">
        <v>0.18</v>
      </c>
      <c r="R40" s="4">
        <f t="shared" si="1"/>
        <v>97.509855979962424</v>
      </c>
      <c r="S40" s="5">
        <f t="shared" si="2"/>
        <v>64.885748588328894</v>
      </c>
      <c r="T40" s="5">
        <f t="shared" si="7"/>
        <v>0.57430092001681965</v>
      </c>
      <c r="U40" s="5">
        <f t="shared" si="8"/>
        <v>16.265022484762071</v>
      </c>
      <c r="V40" s="5">
        <f t="shared" si="9"/>
        <v>5.6197970193787379</v>
      </c>
      <c r="X40" s="5">
        <f t="shared" si="11"/>
        <v>1.7946903750525613</v>
      </c>
      <c r="Y40" s="5">
        <f t="shared" si="12"/>
        <v>4.6149181072780143</v>
      </c>
      <c r="Z40" s="5">
        <f t="shared" si="13"/>
        <v>4.6149181072780143</v>
      </c>
      <c r="AA40" s="5">
        <f t="shared" si="14"/>
        <v>1.6306043979048985</v>
      </c>
      <c r="AB40" s="5">
        <f t="shared" si="15"/>
        <v>0</v>
      </c>
      <c r="AD40" s="5">
        <f t="shared" si="17"/>
        <v>0.18</v>
      </c>
      <c r="AE40" s="5"/>
      <c r="AG40">
        <v>1.36</v>
      </c>
      <c r="AH40">
        <v>0.21</v>
      </c>
      <c r="AI40">
        <v>0.93</v>
      </c>
      <c r="AJ40">
        <f>0.9*2*(55.85+16)/(55.85*2+16*3)</f>
        <v>0.80983093299937381</v>
      </c>
      <c r="AL40">
        <v>0.46</v>
      </c>
      <c r="AM40">
        <v>0.55000000000000004</v>
      </c>
      <c r="AN40">
        <v>0.26</v>
      </c>
      <c r="AO40">
        <v>0.2</v>
      </c>
      <c r="AR40">
        <v>0.04</v>
      </c>
    </row>
    <row r="41" spans="1:44" x14ac:dyDescent="0.55000000000000004">
      <c r="A41" t="s">
        <v>72</v>
      </c>
      <c r="B41" t="s">
        <v>20</v>
      </c>
      <c r="C41" t="s">
        <v>66</v>
      </c>
      <c r="D41">
        <v>67.08</v>
      </c>
      <c r="E41">
        <v>0.6</v>
      </c>
      <c r="F41">
        <v>14.61</v>
      </c>
      <c r="G41">
        <f>5.34*2*(55.85+16)/(55.85*2+16*3)</f>
        <v>4.8049968691296181</v>
      </c>
      <c r="I41">
        <v>0.94</v>
      </c>
      <c r="J41">
        <v>3.67</v>
      </c>
      <c r="K41">
        <v>4.8499999999999996</v>
      </c>
      <c r="L41">
        <v>2.14</v>
      </c>
      <c r="O41">
        <v>0.2</v>
      </c>
      <c r="R41" s="4">
        <f t="shared" si="1"/>
        <v>98.694996869129611</v>
      </c>
      <c r="S41" s="5">
        <f t="shared" si="2"/>
        <v>67.966971100823514</v>
      </c>
      <c r="T41" s="5">
        <f t="shared" si="7"/>
        <v>0.60793355188572018</v>
      </c>
      <c r="U41" s="5">
        <f t="shared" si="8"/>
        <v>14.803181988417288</v>
      </c>
      <c r="V41" s="5">
        <f t="shared" si="9"/>
        <v>4.868531355749556</v>
      </c>
      <c r="X41" s="5">
        <f t="shared" si="11"/>
        <v>0.95242923128762835</v>
      </c>
      <c r="Y41" s="5">
        <f t="shared" si="12"/>
        <v>3.7185268923676551</v>
      </c>
      <c r="Z41" s="5">
        <f t="shared" si="13"/>
        <v>4.9141295444095707</v>
      </c>
      <c r="AA41" s="5">
        <f t="shared" si="14"/>
        <v>2.1682963350590687</v>
      </c>
      <c r="AB41" s="5">
        <f t="shared" si="15"/>
        <v>0</v>
      </c>
      <c r="AD41" s="5">
        <f t="shared" si="17"/>
        <v>0.2</v>
      </c>
      <c r="AE41" s="5"/>
      <c r="AG41">
        <v>1.61</v>
      </c>
      <c r="AH41">
        <v>0.18</v>
      </c>
      <c r="AI41">
        <v>1.07</v>
      </c>
      <c r="AJ41">
        <f>0.82*2*(55.85+16)/(55.85*2+16*3)</f>
        <v>0.73784596117720724</v>
      </c>
      <c r="AL41">
        <v>0.45</v>
      </c>
      <c r="AM41">
        <v>0.64</v>
      </c>
      <c r="AN41">
        <v>0.28999999999999998</v>
      </c>
      <c r="AO41">
        <v>0.31</v>
      </c>
      <c r="AR41">
        <v>0.05</v>
      </c>
    </row>
    <row r="42" spans="1:44" x14ac:dyDescent="0.55000000000000004">
      <c r="A42" t="s">
        <v>73</v>
      </c>
      <c r="B42" t="s">
        <v>20</v>
      </c>
      <c r="C42" t="s">
        <v>66</v>
      </c>
      <c r="D42">
        <v>73.459999999999994</v>
      </c>
      <c r="E42">
        <v>0.26</v>
      </c>
      <c r="F42">
        <v>13.41</v>
      </c>
      <c r="G42">
        <f>2.49*2*(55.85+16)/(55.85*2+16*3)</f>
        <v>2.2405322479649343</v>
      </c>
      <c r="I42">
        <v>0.26</v>
      </c>
      <c r="J42">
        <v>1.57</v>
      </c>
      <c r="K42">
        <v>4.41</v>
      </c>
      <c r="L42">
        <v>3.02</v>
      </c>
      <c r="O42">
        <v>0.35</v>
      </c>
      <c r="R42" s="4">
        <f t="shared" si="1"/>
        <v>98.630532247964922</v>
      </c>
      <c r="S42" s="5">
        <f t="shared" si="2"/>
        <v>74.479979298211404</v>
      </c>
      <c r="T42" s="5">
        <f t="shared" si="7"/>
        <v>0.26361005469010301</v>
      </c>
      <c r="U42" s="5">
        <f t="shared" si="8"/>
        <v>13.596195513054928</v>
      </c>
      <c r="V42" s="5">
        <f t="shared" si="9"/>
        <v>2.2716416477729835</v>
      </c>
      <c r="X42" s="5">
        <f t="shared" si="11"/>
        <v>0.26361005469010301</v>
      </c>
      <c r="Y42" s="5">
        <f t="shared" si="12"/>
        <v>1.5917991763979296</v>
      </c>
      <c r="Z42" s="5">
        <f t="shared" si="13"/>
        <v>4.4712320814744393</v>
      </c>
      <c r="AA42" s="5">
        <f t="shared" si="14"/>
        <v>3.0619321737081195</v>
      </c>
      <c r="AB42" s="5">
        <f t="shared" si="15"/>
        <v>0</v>
      </c>
      <c r="AD42" s="5">
        <f t="shared" si="17"/>
        <v>0.35</v>
      </c>
      <c r="AE42" s="5"/>
      <c r="AG42">
        <v>1.27</v>
      </c>
      <c r="AH42">
        <v>0.12</v>
      </c>
      <c r="AI42">
        <v>1.01</v>
      </c>
      <c r="AJ42">
        <f>0.4*2*(55.85+16)/(55.85*2+16*3)</f>
        <v>0.35992485911083283</v>
      </c>
      <c r="AL42">
        <v>0.04</v>
      </c>
      <c r="AM42">
        <v>0.67</v>
      </c>
      <c r="AN42">
        <v>0.26</v>
      </c>
      <c r="AO42">
        <v>0.28000000000000003</v>
      </c>
      <c r="AR42">
        <v>7.0000000000000007E-2</v>
      </c>
    </row>
    <row r="63" spans="1:13" x14ac:dyDescent="0.5500000000000000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Patounakis</dc:creator>
  <cp:lastModifiedBy>Ding, Shuo</cp:lastModifiedBy>
  <dcterms:created xsi:type="dcterms:W3CDTF">2026-03-23T17:48:09Z</dcterms:created>
  <dcterms:modified xsi:type="dcterms:W3CDTF">2026-04-06T20:58:36Z</dcterms:modified>
</cp:coreProperties>
</file>